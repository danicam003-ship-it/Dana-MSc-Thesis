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danicam003/Desktop/Data for master thesis/"/>
    </mc:Choice>
  </mc:AlternateContent>
  <xr:revisionPtr revIDLastSave="0" documentId="8_{FBECB479-47B0-D843-9D85-06D848B27412}" xr6:coauthVersionLast="47" xr6:coauthVersionMax="47" xr10:uidLastSave="{00000000-0000-0000-0000-000000000000}"/>
  <bookViews>
    <workbookView xWindow="5080" yWindow="740" windowWidth="28800" windowHeight="16540" xr2:uid="{00000000-000D-0000-FFFF-FFFF00000000}"/>
  </bookViews>
  <sheets>
    <sheet name="Cleaned_QA_Pairs" sheetId="1" r:id="rId1"/>
    <sheet name="Added_From_CSV" sheetId="2" r:id="rId2"/>
    <sheet name="Cleaning_Audit" sheetId="3" r:id="rId3"/>
    <sheet name="Episodes" sheetId="4" r:id="rId4"/>
    <sheet name="Speakers" sheetId="5" r:id="rId5"/>
    <sheet name="Method_and_Limitations" sheetId="6" r:id="rId6"/>
    <sheet name="Codebook" sheetId="7" r:id="rId7"/>
    <sheet name="Summary"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8" l="1"/>
  <c r="B15" i="8"/>
  <c r="B14" i="8"/>
  <c r="B13" i="8"/>
  <c r="B12" i="8"/>
  <c r="B11" i="8"/>
  <c r="B10" i="8"/>
  <c r="B9" i="8"/>
  <c r="H5" i="8"/>
  <c r="G5" i="8"/>
  <c r="F5" i="8"/>
  <c r="E5" i="8"/>
  <c r="D5" i="8"/>
  <c r="C5" i="8"/>
  <c r="K15" i="4"/>
  <c r="J15" i="4"/>
  <c r="K14" i="4"/>
  <c r="J14" i="4"/>
  <c r="K13" i="4"/>
  <c r="J13" i="4"/>
  <c r="K12" i="4"/>
  <c r="J12" i="4"/>
  <c r="K11" i="4"/>
  <c r="J11" i="4"/>
  <c r="K10" i="4"/>
  <c r="J10" i="4"/>
  <c r="K9" i="4"/>
  <c r="J9" i="4"/>
  <c r="K8" i="4"/>
  <c r="J8" i="4"/>
  <c r="K7" i="4"/>
  <c r="J7" i="4"/>
  <c r="K6" i="4"/>
  <c r="J6" i="4"/>
  <c r="K5" i="4"/>
  <c r="J5" i="4"/>
</calcChain>
</file>

<file path=xl/sharedStrings.xml><?xml version="1.0" encoding="utf-8"?>
<sst xmlns="http://schemas.openxmlformats.org/spreadsheetml/2006/main" count="12602" uniqueCount="2751">
  <si>
    <t>Cleaned and Merged Question-Answer Pairs</t>
  </si>
  <si>
    <t>257 usable transcript-derived pairs after standalone-question review, answer-alignment checks and cross-source deduplication. Original wording is retained for every edited question. Manual scientific verification remains required before chatbot use.</t>
  </si>
  <si>
    <t>Pair ID</t>
  </si>
  <si>
    <t>Question</t>
  </si>
  <si>
    <t>Possible Answer (Transcript-Derived)</t>
  </si>
  <si>
    <t>Original Question</t>
  </si>
  <si>
    <t>Question Edited?</t>
  </si>
  <si>
    <t>Episode Title</t>
  </si>
  <si>
    <t>Episode ID</t>
  </si>
  <si>
    <t>Pair Type</t>
  </si>
  <si>
    <t>Question Speaker</t>
  </si>
  <si>
    <t>Answer Speaker</t>
  </si>
  <si>
    <t>Pages</t>
  </si>
  <si>
    <t>Primary Agent</t>
  </si>
  <si>
    <t>Secondary Agents</t>
  </si>
  <si>
    <t>Context Dependency</t>
  </si>
  <si>
    <t>Recommended for Q-Q Retrieval</t>
  </si>
  <si>
    <t>Safety Tag</t>
  </si>
  <si>
    <t>Extraction Confidence</t>
  </si>
  <si>
    <t>Source Origin</t>
  </si>
  <si>
    <t>Source Record ID</t>
  </si>
  <si>
    <t>Answer Word Count</t>
  </si>
  <si>
    <t>Review Status</t>
  </si>
  <si>
    <t>Source File</t>
  </si>
  <si>
    <t>Human Reviewer</t>
  </si>
  <si>
    <t>Reviewer Decision</t>
  </si>
  <si>
    <t>Reviewer Notes</t>
  </si>
  <si>
    <t>CQA-0001</t>
  </si>
  <si>
    <t>Now some people immediately ask, well, should I supplement l-tyrosine?</t>
  </si>
  <si>
    <t>It does increase kind of mood and elevation and alertness. It is over-the-counter. You have to check with your doctor--I am not responsible for your health care, and I'm not a doctor--whether or not it's safe for you. People with pre-existing hyperdopaminergic conditions like mania should probably not take l-tyrosine. The other thing about taking l-tyrosine is there is a crash. It's not a massive crash if you take it at appropriate doses and it's right for you. But it can produce a crash and a lethargy and a kind of brain fog after the next day or so. And so l-tyrosine, however, can be ingested through foods or through supplementation to increase dopamine levels. That's well known. Taking chronically, however, it can disrupt those dopamine pathways. Let's just kind of take stock of where we're at. We have a brain-body connection. There are many of them, but one of the main ones is the vagus nerve. The vagus collects information about a lot of things, breathing, heart rate, stuff that's happening in the gut, et cetera. And gut, by the way, includes the stomach and the intestines. Sends that information up to the brain. The brain is using that information to decide one of two things, move toward something or move away. It can also pause, but essentially pausing is not moving toward. So that's the dopamine pathway. And foods rich in l-tyrosine generally give us an elevated mood and make us want to do more of whatever it is that we happen to be doing, as well as other things. Motivation generalizes to other things. It's not unique to just ingesting foods. But foods that give us a big pulse of dopamine will make us crave more of that food. It will make us crave more of the activity that led to the ingestion of that food. And as I mentioned earlier, a lot of that is happening at a subconscious level that you're not even aware of. So the other neuromodulator that's really interesting in the context of the vagus is serotonin. Serotonin, just to remind you, is a neuromodulator. Therefore, it creates a bias in which neural circuits, which neurons in the brain and body are going to be active. And it makes it less likely that other ones are going to be active. And serotonin, when it's elevated, tends to make us feel really comfortable and kind of blissed out wherever we are. And that contrast with dopamine and epinephrine, which mainly put us in pursuit of things. Motivation is pursuit. The conversation around the brain, body, relationship and mood and serotonin for m</t>
  </si>
  <si>
    <t>No</t>
  </si>
  <si>
    <t>Gut-Brain Axis, Nutrition and Mood (solo educational segment)</t>
  </si>
  <si>
    <t>EP-S01</t>
  </si>
  <si>
    <t>self_answered_within_turn</t>
  </si>
  <si>
    <t>Andrew Huberman</t>
  </si>
  <si>
    <t>1-11</t>
  </si>
  <si>
    <t>Intervention Agent</t>
  </si>
  <si>
    <t>Lifestyle Agent; Mental Health Agent</t>
  </si>
  <si>
    <t>Medium</t>
  </si>
  <si>
    <t>Review</t>
  </si>
  <si>
    <t>None identified automatically</t>
  </si>
  <si>
    <t>Supplied CSV addition</t>
  </si>
  <si>
    <t>hle_qna_0002</t>
  </si>
  <si>
    <t>Automatically cleaned; manual scientific verification required</t>
  </si>
  <si>
    <t>ANDREW HUBERMAN Welcome to Huberman Lab Essentials.pdf</t>
  </si>
  <si>
    <t>Pending</t>
  </si>
  <si>
    <t>CQA-0002</t>
  </si>
  <si>
    <t>So there's a vast world now devoted to trying to understand what sources of food, what kinds of foods are good or not good for the gut microbiome?</t>
  </si>
  <si>
    <t>Here's a few things that I think you might find surprising. First of all, supporting a healthy gut microbiome is good for mood, great for digestion, and great for immune system function. However, that does not mean maxing out or taking the most probiotic and prebiotic that you can possibly manage. As I mentioned many times before, I do believe in probiotics, I take probiotics. But there are studies that show that if you take lots and lots of certain probiotics, like lactobacillus, and you really ramp up the levels more, it is not a case of more is better. There are things like brain fog that can come from that. Brain fog is just this inability to focus. People feel really not well, generally. Some of those studies are a little bit controversial, but I think it's fair to say that if people really increase the amount of probiotic that they're taking beyond a certain amount, then they start feeling foggy in the mind. The ingestion of fermented foods is one of the best ways to support healthy levels of gut microbiota without exceeding the threshold that would cause things like brain fog. So much so that some people report that when they start eating small bits, because it doesn't require a lot of fermented foods, that their overall mood is better. Not unlike the effects of EPA, although I don't think it's been looked at directly in the context of clinical depression yet. There are some things that you can do to really damage your gut microbiome. And this is where there's a huge misconception that I want to clear up. There was a study that showed that artificial sweeteners, but a particular artificial sweetener, which was saccharin, can disrupt the gut microbiome in ways that is detrimental to a number of different health markers. Increasing inflammatory cytokines and all the other bad things that happen when the gut microbiome is thrown off kilter. Saccharin is not the most typical artificial sweetener that's used. The most typical sweetener. Artificial sweeteners that are used are things like aspartame, so-called NutraSweet, or sucralose, or these days, stevia. To my knowledge, the negative effects of artificial sweeteners on the gut microbiome were restricted to saccharin. So what happens is certain artificial sweeteners, in particular saccharin, disrupt the microbiome and make the environment within the gut, that mucosal lining, more favorable to bacteria microbiota that are not good for the organism. This is an important distinction. It's not just that a l</t>
  </si>
  <si>
    <t>Nutrition and Body Agent</t>
  </si>
  <si>
    <t>Mental Health Agent</t>
  </si>
  <si>
    <t>Yes</t>
  </si>
  <si>
    <t>hle_qna_0003</t>
  </si>
  <si>
    <t>CQA-0003</t>
  </si>
  <si>
    <t>What is the vagus nerve?</t>
  </si>
  <si>
    <t>Vagus is the 10th cranial nerve, which basically means that the neurons, the control center of each of those neurons in the vagus lives just kind of near the neck. And a branch of the vagus goes into the brain. The other branch goes into the periphery. But not just the gut. It goes into the stomach, the intestines, the heart, the lungs, and the immune system. So the way to think about the vagus is the same way I would think about the eyes. The eyes are looking at colors. They're looking at motion. They're looking at how bright it is. And each one of those things, those features, is telling the brain something different. So the brain can decide when to be awake or asleep, whether or not it's looking at somebody attractive or unattractive. The vagus nerve is also analyzing many features within the body, and informing the brain of how to feel about that, and what to do. So a really good example that I think is an exciting one is as it relates to sugar. So we all know that sweet things generally taste good.</t>
  </si>
  <si>
    <t>So what is the vagus nerve?</t>
  </si>
  <si>
    <t>Sleep Agent</t>
  </si>
  <si>
    <t>hle_qna_0005</t>
  </si>
  <si>
    <t>CQA-0004</t>
  </si>
  <si>
    <t>So what's the deal with the gut microbiome and the gut-brain axis?</t>
  </si>
  <si>
    <t>Today, we've actually been talking a lot already about the gut brain axis that has nothing to do with microbiomes. We've been talking about this vagus nerve that connects--providing sensory information from the body to the brain. And then the brain also sends, in the same nerve, motor information to control the motility, the gut, the heart rate, how fast we breathe, and deployment of immune stuff. But oftentimes when we hear about the gut-brain axis these days, it's a discussion about the gut microbiome. I'm very happy there's so much discussion about the gut microbiome. I am somewhat dismayed and concerned that most of what I hear out there is either false or partially false. So we're going to clear up some of the misconceptions, first, by understanding the biology. And then we're going to talk about some of the actionable items. It is true that we have a lot of these little microorganisms living in our gut. They're not there because they want to help us. They don't have brains. They are adaptive, however. They try and find and create environments that make it easier for them to proliferate. So they don't care about you and me, but they are perfectly willing to exploit you and me in order to make more of themselves. The microbiota that live in us vary along the length of our digestive tract. So we are one long tube for digestion. And inside of that tube is a mucosal lining. And the conditions of that mucosal lining set a number of different things. It sets the rate of our digestion and the quality of our digestion. It sets, for instance, our immune system. We're ingesting things all the time. Think about air, bacteria, viruses, they're making their way into our gut. And some of those bacteria live in the gut. And some of those bacteria bias the mucosal lining in the gut, stomach and intestines, to be more acidic or more basic so that they can make more of themselves. So they can replicate. Now, some of those mucosal linings that they promote make us feel better. They make us feel more alert. They bolster our immune system. And others make us feel worse. So first rule, the microbiome isn't good or bad. Some of these little bugs that live in us do bad things to us. They make us feel worse. They lower our immunity. They affect us in negative ways. Some of them make us feel better. And they do that mainly by changing the conditions of our gut environment. In addition to that, they do impact the neurotransmitters and the neurons that live in the gut, and that</t>
  </si>
  <si>
    <t>Lifestyle Agent</t>
  </si>
  <si>
    <t>hle_qna_0006</t>
  </si>
  <si>
    <t>CQA-0005</t>
  </si>
  <si>
    <t>So why is it that the leading cause of infertility on this planet, 90% of women are not diagnosed?</t>
  </si>
  <si>
    <t>Women's health is very different than other fields of medicine. It's a different monster. It's that cataract patient that goes to 20 ophthalmologists, and she keeps saying, "I can't see!" And the ophthalmologist says, "You're crazy. There's nothing wrong with you."</t>
  </si>
  <si>
    <t>Women's Reproductive and General Health: PCOS, Endometriosis, Breast Cancer, Perimenopause and Menopause</t>
  </si>
  <si>
    <t>EP-001</t>
  </si>
  <si>
    <t>Thaïs Aliabadi</t>
  </si>
  <si>
    <t>11</t>
  </si>
  <si>
    <t>Hormonal Health Agent</t>
  </si>
  <si>
    <t>hle_qna_0007</t>
  </si>
  <si>
    <t>CQA-0006</t>
  </si>
  <si>
    <t>So, we can start this important initiative now. What is PCOS?</t>
  </si>
  <si>
    <t>Very good question. So PCOS is the most common hormone disorder in women in their reproductive age. The most common. So we're not talking about some rare diagnosis, number one. It affects 15% of women in this country. If you go to Middle Eastern countries, that number can go north of 20%. Studies show that 70% of these patients are never diagnosed. I tell you today that that number is over 90%. Majority of these patients are never diagnosed, or even when they're diagnosed, they're not being treated correctly. I listen to podcasts on PCOS, where doctors come, and whoever's interviewing them asks them, "So what do we do for PCOS?" And the answer is, "We give birth control." That's not true. Birth control is just one tiny little aspect of the entire treatment plan, and that's why patients get frustrated. So when it comes to diagnosing PCOS, right, you need to meet two out of three criteria. The first one being symptoms of high testosterone or high androgens. What are those? Facial hair, body hair, the most common, acne, oily skin, or male pattern hair thinning, which a lot of women complain of. Number two is basically ovulation dysfunction. These are women with irregular periods. They'll get their periods over 35 days, it's not regular 28 days, or they get about eight periods per year. These are patients who usually come to the doctor, and when you ask them how your periods are, they can't really tell. They tell you, "It's irregular. I can't quite pinpoint when I'm going to get my period." And number three is PCOS, looking ovaries on ultrasound. Polycystic ovary syndrome does not mean cysts. That's a bad name. It's a very specific finding on ultrasound when you see almost 20-plus follicles in the ovary, and these are follicles. They look like a string of pearls. It's very specific to PCOS. The issue is doctors don't recognize it, they dismiss it, and they look at the ovary, and they say, "Oh, you have so many eggs, you have no issues with fertility." So PCOS-looking ovaries on ultrasound does not mean cysts. To this day, doctors tell patients, "I don't see a cyst on your ovary, so you don't have PCOS." So, PCOS is an ultrasound finding. However, in 2023, they added another criteria to this third criteria, which is elevated egg count or elevated AMH. So, women who have very high AMH, that is a telltale sign for PCOS, and that's what we were talking about before this podcast.</t>
  </si>
  <si>
    <t>dialogue</t>
  </si>
  <si>
    <t>15-16</t>
  </si>
  <si>
    <t>hle_qna_0011</t>
  </si>
  <si>
    <t>CQA-0007</t>
  </si>
  <si>
    <t>And you mentioned by ultrasound, this kind of characteristic lining up of the follicles, I have to ask what might sound like a politically incorrect question, but I'm going to ask it anyway. Do you think that male OB-GYNs more often make this mistake than female OB-GYNs, or is this an equally distributed problem in the OB-GYN community?</t>
  </si>
  <si>
    <t>Equal. 90% of these patients, let me tell you, are never diagnosed. A, a lot of gynecologists don't do a pelvic ultrasound, which I want to change that in this country. It needs to be part of a well-woman exam. No.</t>
  </si>
  <si>
    <t>18</t>
  </si>
  <si>
    <t>hle_qna_0018</t>
  </si>
  <si>
    <t>CQA-0008</t>
  </si>
  <si>
    <t>I could imagine that a number of women listening to this are thinking, "Well, I've got a little bit of acne. My hair is thinner than it was five years ago, but is this mild PCOS? Is this indicative of PCOS?" I mean, everyone hopefully knows their body best, but how bad does the acne or the hair thinning have to be, how rapid, before you might say, "Maybe just the hair's seemingly thinner, there's a little bit more acne. It's back acne, but..." And is it throughout the cycle?</t>
  </si>
  <si>
    <t>Yes, it's throughout the cycle, and these are patients who usually come to the office asking for help. They say, "I can't get rid of my acne." I always say, "If you're older than 25 and you're struggling with acne and you come to my office and you're asking for spironolactone and Accutane, something's not right," right? If you have hair thinning, like you brush your hair and you lose tons of hair. I mean, these are patients you can look at their scalp, and you know they're losing hair. I'm not talking about the hair loss that you get postpartum. You know that's transitional, and it recovers in 9 to 12 months. These are symptoms that persist, and as these patients get older, it becomes more and more and more significant. But the reason I give that big picture is I always look at other factors. Are they having a hard time losing weight? Do they have mood disorder? Do they have any history of eating disorder? Have they been on Accutane? Do they go and laser their hair twice a year because they can't get rid of it? It's a pattern that you will know. It's not a little bit of this and... These are patients, patients who are listening right now to me, they're going to say, "Yes, I have this." "I have every symptom, and I put a check in front of it." The problem with PCOS is there are four different phenotypes of PCOS. That's why it's so confusing for doctors to diagnose PCOS. The most common classic phenotype is a patient that has all three. PCOS-looking ovaries on ultrasound, elevated testosterone symptoms or high testosterone or androgens in the blood, and irregular period. The second type B patients have the high androgen symptoms. They do have dysfunctional ovulation with irregular periods, but these patients have normal ovaries on ultrasound. In this group of patients, you can't do an ultrasound and say, "Your ovaries are not PCOS-looking, so you don't have it." Then the third phenotype is the ovulatory PCOS. It gets very confusing. This group of PCOS patients actually ovulate at least sometimes, because 70% to 80% of PCOS patients don't ovulate. To 80% do not ovulate, even when they have regular cycles. So, of the 20%, 30% who ovulate, you need to ovulate to get pregnant. This C phenotype, these patients are ovulating sometimes with regular cycles. So these are PCOS patients who go to the doctor. They have PCOS-looking ovaries on ultrasound. They have acne, hair loss, facial hair, body hair, mood, all of that, but their periods are regular. Even these patients, a lot of times, are not ovulating. That regular cycle that you're seeing is estrogen withdrawal. It's not from the progesterone of ovulation, and we're going to get into all that if you want to. And the fourth category, these are patients who basically don't have any elevated testosterone or androgen symptoms. They don't have acne, hair loss, facial hair, body hair. They just don't ovulate regularly, and they have PCOS-looking ovaries on ultrasound. So imagine these four phenotypes, right? And imagine all the insulin resistance and all these other underlying conditions. It makes the big picture, the image of these patients, so different. They all present differently to the office. That's why doctors scratch their heads. That's why doctors don't want to diagnose PCOS, because they really don't understand all these phenotypes. They don't understand that you can be completely thin and have PCOS, that not all PCOS patients need to have weight issues, that you don't have to have acne, hair loss, facial hair, body hair, that in some phenotypes, you don't need to have a PCOS-looking ovaries. There are some that have regular cycles, so that's why it gets so confusing.</t>
  </si>
  <si>
    <t>20-21</t>
  </si>
  <si>
    <t>hle_qna_0021</t>
  </si>
  <si>
    <t>CQA-0009</t>
  </si>
  <si>
    <t>I mean, we know that serotonin and dopamine, all these things, have feedback and interaction with these hormones. Or do you think that that's a separate thing entirely?</t>
  </si>
  <si>
    <t>In order to answer that, I think it's better for me to tell you the underlying drivers of the symptoms of PCOS and how those can affect the mood. And by treating the underlying conditions, sometimes you can address mood changes without having to give them a Zoloft or a Lexapro. You might have to, right?</t>
  </si>
  <si>
    <t>21-22</t>
  </si>
  <si>
    <t>Mental Health Agent; Intervention Agent</t>
  </si>
  <si>
    <t>hle_qna_0023</t>
  </si>
  <si>
    <t>CQA-0010</t>
  </si>
  <si>
    <t>So, what is the cause of the mood disorders?</t>
  </si>
  <si>
    <t>You're talking slightly elevated testosterone, so all the males listening are like, "Ooh, sounds great." And, of course, supplementing with testosterone in women in menopause has now become kind of a trendy thing.</t>
  </si>
  <si>
    <t>22</t>
  </si>
  <si>
    <t>Intervention Agent; Mental Health Agent</t>
  </si>
  <si>
    <t>Low</t>
  </si>
  <si>
    <t>hle_qna_0025</t>
  </si>
  <si>
    <t>CQA-0011</t>
  </si>
  <si>
    <t>It actually comes from the hypothalamus in part. So, is there evidence that this is preceded by stress or trauma, things of that sort?</t>
  </si>
  <si>
    <t>Yes, it's genetic, and that's why I want to talk about it. This is just the first pillar. You saw just the first driving force is this brain pituitary ovary pathway that's completely disrupted, that most patients, 70% to 80%, don't even ovulate, and of the ones who ovulate, the environment is not really good for the embryo. So that's just the first pillar. But at its core, PCOS has insulin resistance, and I'm sure you know all about insulin resistance, but I want to explain it to your-</t>
  </si>
  <si>
    <t>25</t>
  </si>
  <si>
    <t>Nutrition and Body Agent; Hormonal Health Agent</t>
  </si>
  <si>
    <t>hle_qna_0029</t>
  </si>
  <si>
    <t>CQA-0012</t>
  </si>
  <si>
    <t>It basically tells your body, "Take this sugar, get rid of it from the blood, and store it as fat." How does it do that?</t>
  </si>
  <si>
    <t>It pushes our liver to turn it into triglyceride. The triglycerides can, A, go into our blood as a form of VLDL and go and attach themselves to the heart, and that's why PCOS patients, you have to screen them, their lipid panel, because of their cholesterol, risk of cardiovascular disease, risk of diabetes, all of that. But what it does, it sends these triglycerides to our visceral organs, so these patients start having visceral fat. Visceral fat is very different than the fat that you have under your skin. Visceral fat actually releases cytokines, inflammatory factors that increases the inflammation. Inflammation makes our insulin resistance worse, and inflammation, which is the next pillar, stimulates our ovaries to secrete more androgens. It's vicious-</t>
  </si>
  <si>
    <t>26</t>
  </si>
  <si>
    <t>Hormonal Health Agent; Intervention Agent</t>
  </si>
  <si>
    <t>hle_qna_0030</t>
  </si>
  <si>
    <t>CQA-0013</t>
  </si>
  <si>
    <t>And when you were talking about mood, why does someone feel bad?</t>
  </si>
  <si>
    <t>Why does a PCOS... First of all, the androgens do affect, disrupt the dopamine and serotonin in their brain. That's a fact. But put yourself in the shoes of a PCOS young girl, who lives at home with a thin, beautiful mom or a thin, beautiful older sister. She's overweight. She doesn't eat anything. She's exercising every day. She's already a little anxious. She has acne. Her mom takes her in, and they put her on Accutane. She's constantly lasering her hair. Her periods are completely unpredictable.</t>
  </si>
  <si>
    <t>28-29</t>
  </si>
  <si>
    <t>hle_qna_0031</t>
  </si>
  <si>
    <t>CQA-0014</t>
  </si>
  <si>
    <t>You're good. You're going to be fine." These are the women that are showing up in clinics in their late 30s and 40s and saying, "Why is it that my egg count is so low?" Or, "Why is it that I can't conceive?"</t>
  </si>
  <si>
    <t>So, PCOS patients, their egg count is falsely high because of these tiny follicles that are frozen in the ovaries that never got to ovulate, they do secrete AMH. So these patients, that's why in 2023, they changed that second criteria, the PCOS ovaries, to elevated or elevated AMH. Sometimes like, let's say a young-</t>
  </si>
  <si>
    <t>29-30</t>
  </si>
  <si>
    <t>hle_qna_0032</t>
  </si>
  <si>
    <t>CQA-0015</t>
  </si>
  <si>
    <t>Is it high-dose metformin or sort of low?</t>
  </si>
  <si>
    <t>No, high dose. High dose, I mean, I start patients on 750 twice a day, but you have to start slow because PCOS patients, especially the ones with insulin resistance, which is 80% of them... I start with 750 because it can cause sometimes GI symptoms like diarrhea, and it can also cause nausea, so I start with 750 at night. Then if they tolerate it, I add the 750 in the morning. And for patients who are tolerating it and they still are not ovulating, their periods are still not regulating, and they still have symptoms, I might up it to 1,000 twice a day. But you see these patients who come in on 500 milligrams of metformin once a day. That's not going to touch these patients. So, metformin is one, but before metformin, and I don't know if you know this, because of my passion for PCOS, I actually developed a calculator. It's a platform called Ovii. Women can go on it. Obviously, I can't diagnose on any website, but I can tell them that, ask them... It's my algorithm that I've developed over the past 25 years, and I can tell them very closely whether or not they have the likelihood of having PCOS. So it's there. It's ovii.com, O-V-I-I.com. It's free.</t>
  </si>
  <si>
    <t>35-36</t>
  </si>
  <si>
    <t>Intervention Agent; Nutrition and Body Agent</t>
  </si>
  <si>
    <t>hle_qna_0033</t>
  </si>
  <si>
    <t>CQA-0016</t>
  </si>
  <si>
    <t>This is estrogen-based or progestin-based birth control?</t>
  </si>
  <si>
    <t>Estrogen and progesterone, or there's a progesterone-only birth control pill now called Slynd that helps with... It's very anti-androgenic that I try for PCOS patients who need a method of birth control. But when it comes to treatment, you have to hit the underlying pillars, right? So, we talked about the epigenetics. I always start there with that. Exercise, walking after each meal. Walk for 10, 15 minutes. Make sure you're sleeping well. Make sure your diet is healthy, you're not eating inflammatory foods, you're avoiding processed foods. So lower your stress. So you deal with that, but that doesn't work for these patients. That's why you need to address everything else. Insulin resistance is one of the main pillars that needs to be addressed. You have to lower that insulin, because if you lower that insulin, you're lowering visceral fat, you're lowering inflammation, you're lowering the ovaries from secreting androgens, right? So that insulin needs to be lowered. That's why a lot of PCOS patients get prescribed metformin, right? What does metformin do? Metformin basically makes us more insulin sensitive. It's opening these channels, so sugar clears the blood and goes into the cells, where it turns into energy.</t>
  </si>
  <si>
    <t>35</t>
  </si>
  <si>
    <t>hle_qna_0034</t>
  </si>
  <si>
    <t>CQA-0017</t>
  </si>
  <si>
    <t>What does metformin do?</t>
  </si>
  <si>
    <t>Metformin basically makes us more insulin sensitive. It's opening these channels, so sugar clears the blood and goes into the cells, where it turns into energy.</t>
  </si>
  <si>
    <t>hle_qna_0035</t>
  </si>
  <si>
    <t>CQA-0018</t>
  </si>
  <si>
    <t>What did your colleagues think at that time, that you were injecting patients with GLP-1?</t>
  </si>
  <si>
    <t>I actually learned it from a cardiologist who I used to work with, Dr. Khorsandi, because I would screen for lipid panel on these PCOS patients, and they had high triglycerides, and they were overweight, so I would keep sending my patients to him, and one day he called me. He's like, "Listen, Thaïs, there is this medication called Trulicity. Stop sending your patients to me. Treat them with this medication. They will lose weight, and their cholesterol, everything will get better." So in 2014, I started putting these patients on Trulicity, and one thing I realized is their periods were starting to get regular. Their symptoms of PCOS would get better. And the first thing they would come and tell me is, "Doctor, I feel less inflamed." Why do you think? Because you put them on these medications. First of all, PCOS patients chronically have this insulin firing, right? And that's why this cascade starts. What GLP-1s do... People think it's an appetite suppressant, and that's how it works. Well, that's a side effect of it, but what it does is it actually regulates that insulin, so when you eat, it spikes your insulin up and clears that sugar out of your blood, right?</t>
  </si>
  <si>
    <t>37</t>
  </si>
  <si>
    <t>Hormonal Health Agent; Nutrition and Body Agent</t>
  </si>
  <si>
    <t>hle_qna_0038</t>
  </si>
  <si>
    <t>CQA-0019</t>
  </si>
  <si>
    <t>I'm aware of an over-the-counter version called berberine, which I believe comes from a tree bark, which is supposed to be a pretty potent glucose scavenger as well. Is there any reason why berberine is not advised?</t>
  </si>
  <si>
    <t>So, I think there are some studies that say long-term berberine is not advised. The problem with PCOS is it doesn't have a cure. You can't cure it. It's an ongoing issue. That's why you need to be on supplements that long-term you can stay on. And like you mentioned, vitamin D, curcumin, chromium, inositol. There are so many things we can do to increase that insulin sensitivity, lower the inflammation in the body. I don't usually give berberine long-term, but definitely short-term, you can use it as pulse treatment for these patients.</t>
  </si>
  <si>
    <t>38</t>
  </si>
  <si>
    <t>Intervention Agent; Hormonal Health Agent</t>
  </si>
  <si>
    <t>hle_qna_0039</t>
  </si>
  <si>
    <t>CQA-0020</t>
  </si>
  <si>
    <t>What dosages for people who are relatively lean or lean?</t>
  </si>
  <si>
    <t>I start with 500 a night just to see how they do. Metformin does have side effects. No, it's mostly the nausea, and some people really get really bad diarrhea with it. That's why I start them on the supplements. If it doesn't work, I go to metformin. If that doesn't work, then I offer them GLP-1s. Patients ask me, "Can I be on the supplement, on metformin, and on the GLP-1?" Yes. You just don't want to start the GLP-1s with the metformin because they both cause nausea, and you don't know which one's causing what. So, if someone's morbidly obese and they really want to lose weight, I start with the GLP-1s, and usually in about four months... My average since 2014, I can tell you, four months of GLP-1s done correctly, patients lose 24 pounds. That's my curve at my office. Probably of muscle, too, but these patients, a lot of them, are, like, 300 pounds, so it's hard to even assess that. But you know what? As they start losing weight, they become more motivated because it's the first time in their life that something actually works for them, because you're actually regulating that insulin dysfunction that they have. And by supporting that, they become more active. Their self-esteem gets better. I had a 26-year-old in my office who I've been treating for many years for PCOS and these GLP-1s, and she came into my office a few months ago, and when I walked in, she was videotaping me. She looked so good. She was so confident. Her hair was done. She had a mini skirt with these boots, and she was always very shy, and she wouldn't talk. It was a different person that walked into my office. And I started hugging her, and she started crying, and she looked at me, she said, "Dr. A, this is the first time in my life I know what it means to be happy."</t>
  </si>
  <si>
    <t>38-39</t>
  </si>
  <si>
    <t>Nutrition and Body Agent; Sleep Agent</t>
  </si>
  <si>
    <t>hle_qna_0040</t>
  </si>
  <si>
    <t>CQA-0021</t>
  </si>
  <si>
    <t>And for people that want to get pregnant and treat their PCOS, what are the success rates that you've observed in your clinic?</t>
  </si>
  <si>
    <t>Very good question. I'm not a fertility doctor, but I'm trying to take these patients out of the hands of the fertility doctors. So one thing I do, I put them on my Ovii supplement. I give them metformin, and I have them try. And I try to see if I can regulate their period. Two things you can do easily, and doctors can do it in their office, one is a medication called letrozole, and the other one is Clomid. Both of those basically regulate that hypothalamus, pituitary, ovarian axis, and pushes these patients to ovulate. With letrozole, 60%, 70% of them, I think, ovulate, and with Clomid, it's a little bit less. So you can try those in the office for someone who wants to get pregnant. What I usually do, I have them try on their own for six months to a year, depending on their age. If they're above 35, I say six months. If they're less than that, and they're not in a hurry, and their egg count is good, and I know I've dealt with their PCOS and their inflammation and their insulin resistance, then I have them try for a year, right? Because if you take 100 couples, regardless of age, and you have them have sex, I don't know, three to four times a week, 50% of them get pregnant in the first six months, and 90% of them get pregnant in the first year. But for patients with endometriosis or PCOS, I usually have them try for about six months and then check back in with me. You know, if letrozole, Clomid, trying on their own, everything fails, then you can send them to fertility doctors. One thing that I want to bring up here, which is my observation, and it's nowhere in the literature, but I'm saying it today, and I know it's going to be published someday. I strongly believe that over 50% of PCOS patients also have endometriosis. Over 50%. And I've always said this, if you have a patient with PCOS, think about it. PCOS is already one of the leading causes of infertility, and in my opinion, 50% of them, because I've seen it in my office, have endometriosis. And I have a path report, and I've done laparoscopic surgery to prove it. If you only address PCOS and you're dismissing their painful period, then they're not getting pregnant. That's why you have to make sure you put a check in front of all these underlying conditions.</t>
  </si>
  <si>
    <t>41</t>
  </si>
  <si>
    <t>Intervention Agent; Safety Agent</t>
  </si>
  <si>
    <t>Safety review required</t>
  </si>
  <si>
    <t>hle_qna_0045</t>
  </si>
  <si>
    <t>CQA-0022</t>
  </si>
  <si>
    <t>What about for women who are older than 30 who want to freeze eggs? Does it make sense for them to freeze at 35?</t>
  </si>
  <si>
    <t>Oh, always. I always freeze, because you need one good egg, and you don't know if you're going to get it or not, but freeze. And PCOS patients, the beauty of it is they have all these follicles, so we can pull out a lot of eggs. Now, the quality might not be good, but keep pulling it. So for my PCOS patients, generally speaking, I always tell my patients, "Freeze 20 eggs," because 20 is safe. But as you get older, especially if you have PCOS, I might want 40 eggs. The more you have, because I know the quality's not that good.</t>
  </si>
  <si>
    <t>44</t>
  </si>
  <si>
    <t>hle_qna_0049</t>
  </si>
  <si>
    <t>CQA-0023</t>
  </si>
  <si>
    <t>Okay, let's talk about endometriosis. What is it? What problems does it create, and what can people do about it?</t>
  </si>
  <si>
    <t>Devastating, devastating condition that affects, they say, 10%. I think it's north of 20% because they're not diagnosed. It's a condition where tissue similar to the lining of the uterus is outside of the uterus, around the tubes and ovaries, on the bladder, on the bowel, or inside the ovary, right? What happens is, in simple terms, when every month, our ovaries are trying to get us pregnant. They secrete estrogen, and estrogen stimulates the lining of the uterus. When we don't get pregnant, this lining breaks down and comes out as a form of period. 10% to, I think, 20% of women have these cells similar to the lining of the uterus outside of the uterus. So once a month, when the follicle is secreting estrogen, these cells on the outside get stimulated, and when we don't get pregnant and the lining breaks down, these guys break down and bleed, but they're bleeding outside of the uterus.</t>
  </si>
  <si>
    <t>47-48</t>
  </si>
  <si>
    <t>Safety Agent; Intervention Agent</t>
  </si>
  <si>
    <t>hle_qna_0051</t>
  </si>
  <si>
    <t>CQA-0024</t>
  </si>
  <si>
    <t>Could you distinguish between painful periods and premenstrual cramping?</t>
  </si>
  <si>
    <t>Correct. So, what do I mean by painful period? If the pain disrupts your life, if you're skipping school, if you're calling in sick and you can't go to work, if you're staying in bed, if you change your social plans around your periods, if you're ending up in the emergency room or in urgent care because your periods are painful, that's not normal. If sex with deep penetration hurts, that's not normal. If you're constantly bloated, even during the month when your periods are painful, and after your periods, you eat, and you're constantly bloated, that's not normal. If when you have a bowel movement, your bowel movement hurts, that's not normal. If you constantly end up in your GYN or primary care's office complaining of "UTI" or "bladder symptoms," recurrent bladder symptoms, and you're getting antibiotics three, four, five times, six times, ten times a year with a negative culture, that's endometriosis until proven otherwise. So, because these patients present differently, majority of these symptoms are chronic pain, though. It's the top cause of chronic pelvic pain in women. It's the leading cause of infertility, right? Over 100 years ago, they knew about endometriosis. 100 years later, we're still not diagnosing these patients correctly. 100 years later, these women go through life, they can't have children, they have chronic pelvic pain, they stay home, they get anxious, they get depressed, they get addicted to opioids because when they go to the doctor, they end up in these pain clinics, and someone starts prescribing them Norco or Percocet. I have 25-year-olds who come to my office, they're like, "I know Percocet is not going to help me. I don't want to take this, but this is what the urgent care gave me."</t>
  </si>
  <si>
    <t>49</t>
  </si>
  <si>
    <t>hle_qna_0052</t>
  </si>
  <si>
    <t>CQA-0025</t>
  </si>
  <si>
    <t>What distinguishes clinically concerning period pain from typical premenstrual cramping?</t>
  </si>
  <si>
    <t>If the pain disrupts your life, if you're skipping school, if you're calling in sick and you can't go to work, if you're staying in bed, if you change your social plans around your periods, if you're ending up in the emergency room or in urgent care because your periods are painful, that's not normal. If sex with deep penetration hurts, that's not normal. If you're constantly bloated, even during the month when your periods are painful, and after your periods, you eat, and you're constantly bloated, that's not normal. If when you have a bowel movement, your bowel movement hurts, that's not normal. If you constantly end up in your GYN or primary care's office complaining of "UTI" or "bladder symptoms," recurrent bladder symptoms, and you're getting antibiotics three, four, five times, six times, ten times a year with a negative culture, that's endometriosis until proven otherwise. So, because these patients present differently, majority of these symptoms are chronic pain, though. It's the top cause of chronic pelvic pain in women.</t>
  </si>
  <si>
    <t>So, what do I mean by painful period?</t>
  </si>
  <si>
    <t>hle_qna_0055</t>
  </si>
  <si>
    <t>CQA-0026</t>
  </si>
  <si>
    <t>May I ask, so I think I have the picture right, where the uterine lining either heads up the fallopian tubes as opposed to being shed outward out of the body, basically, and then it actually gets out into the extracellular space. So would it be cleared by the lymphatic system?</t>
  </si>
  <si>
    <t>But in these patients, not only they don't take them away, they stimulate them to stick to the walls of the pelvis. That's number one. Then, these little implants need estrogen to grow, right? Remember, I told you the ovaries are secreting estrogen. So, they start making their own estrogen. Right? So locally, they support themselves without needing systemic estrogen, right? And then they increase vascularity to the lesion, and then they start growing nerve fibers around them, each lesion.</t>
  </si>
  <si>
    <t>51-52</t>
  </si>
  <si>
    <t>hle_qna_0057</t>
  </si>
  <si>
    <t>CQA-0027</t>
  </si>
  <si>
    <t>And we could explore the reasons for that, but that comes clear in what you're saying. Do we know what causes endometriosis?</t>
  </si>
  <si>
    <t>The first one is this retrograde flow of the menstrual flow. Second is an immune system issue, right? Which I told you, for whatever reason, their immune system cannot clear out these implants, which goes to the PCOS, right? Remember, I told you PCOS patients have so much cytokines released from their visceral? It's my hypothesis that that's why I see so much endometriosis with PCOS, that this chronic inflammation that is caused in PCOS patients is fueling these implants from not being cleared, right? That's why I see so much. That's my hypothesis. My problem is I don't have time to do all of this. There's so much I want to do.</t>
  </si>
  <si>
    <t>58</t>
  </si>
  <si>
    <t>hle_qna_0061</t>
  </si>
  <si>
    <t>CQA-0028</t>
  </si>
  <si>
    <t>Who knows more about their own body than the person experiencing something?</t>
  </si>
  <si>
    <t>100%. And I will tell you, 30 years in women's health, 25 years in private practice, when a woman tells you something's wrong, 99% of the time something's wrong. Take them seriously.</t>
  </si>
  <si>
    <t>60</t>
  </si>
  <si>
    <t>None identified</t>
  </si>
  <si>
    <t>Existing workbook</t>
  </si>
  <si>
    <t>QA-0001</t>
  </si>
  <si>
    <t>/Users/danicam003/Desktop/Data for master thesis/ANDREW HUBERMAN Welcome to Huberman Lab Essentials.pdf</t>
  </si>
  <si>
    <t>CQA-0029</t>
  </si>
  <si>
    <t>How is polycystic ovary syndrome (PCOS) diagnosed?</t>
  </si>
  <si>
    <t>And let me tell you, you can't just diagnose in your head and throw a medication at them. Patients' compliance goes down when they don't know why they're taking a certain medication. But if you take the time and explain it to them, they’re going to go home and say, “This medication, I’m going to take.” So if you separate OB from GYN, then you empower gynecologists, A, to spend more time with their patients, to not be exhausted, to not run from the hospital into their office just completely burnt out, and then you can focus on women’s health. And then we can also talk about well-woman exams. I mean, I can sit here until tomorrow morning and talk to you about what a well-woman exam should all be about.</t>
  </si>
  <si>
    <t>How can you diagnose PCOS patients?</t>
  </si>
  <si>
    <t>61-62</t>
  </si>
  <si>
    <t>hle_qna_0065</t>
  </si>
  <si>
    <t>CQA-0030</t>
  </si>
  <si>
    <t>Does that mean that in the first half of the ovulatory cycle, the menstrual cycle, there's more pain at that time?</t>
  </si>
  <si>
    <t>No, they actually have more pain with the shedding of the lining, with the period. But some patients do complain of chronic pain because, remember, these implants eventually cause scarring and nerve pain, and those nerve pains start firing all month, and that's why chronic pelvic pain.</t>
  </si>
  <si>
    <t>63</t>
  </si>
  <si>
    <t>Moderate - preceding context may be needed</t>
  </si>
  <si>
    <t>QA-0004</t>
  </si>
  <si>
    <t>CQA-0031</t>
  </si>
  <si>
    <t>So, is there any indication that pregnancy before a given age, successful pregnancy, or maybe just pregnancy in general before a given age, is protective against PCOS and endometriosis?</t>
  </si>
  <si>
    <t>For endometriosis, yes, because during pregnancy, your endometriosis is at bay. Patients have no pain, right? It all starts when the menstrual cycle starts again.</t>
  </si>
  <si>
    <t>65</t>
  </si>
  <si>
    <t>Safety Agent</t>
  </si>
  <si>
    <t>QA-0005</t>
  </si>
  <si>
    <t>CQA-0032</t>
  </si>
  <si>
    <t>And then, on the other end of the spectrum, you often will hear, "Well, people are just sort of, like, they're just kind of fanatic about these terms, and then now people are paying attention to it." Do you think that postpartum depression is on the rise? And does it have any correlation with things like endometriosis?</t>
  </si>
  <si>
    <t>Postpartum depression, I think, we see more in patients with anxiety, trauma, or PTSD. So, to answer your question, endometriosis and PCOS patients have anxiety, have depression, and have PTSD. When you live their experience in their life and everything they've gone through in their life, they all have PTSD.</t>
  </si>
  <si>
    <t>QA-0006</t>
  </si>
  <si>
    <t>CQA-0033</t>
  </si>
  <si>
    <t>I hear about fibroids. Where does that fit into this picture, if at all, or is that completely separate?</t>
  </si>
  <si>
    <t>By age 50, 80% of women have some form of fibroids. Like, if you stand at the side of a street and pull out 100 women, a lot of them will have fibroids. When it comes to fibroids, the location of the fibroid is very important. You can have a small fibroid in the lining of that cavity that we talked about that can cause you to have heavy periods, blood clots, you become anemic, fertility issues, all of that, or you can have a 10-centimeter fibroid outside of the uterus that can make you look like you're pregnant, but it doesn't do anything to your bleeding. So when it comes to fibroids, the location of it is very important. For patients who have small fibroids, it's away from the cavity, they don't have any symptoms, we just watch them. As they grow, you're more likely... You know, women in their 40s are very likely to have fibroids or develop fibroids, but if it doesn't bother them, we don't do anything. We operate on fibroids for several reasons. Number one, if it's inside the cavity and it causes anemia, infertility, or heavy periods. We operate on fibroids if they're extremely large and they cause bloating. We go by weeks of pregnancy, and let's say you have a 16-week-size fibroid uterus, which is equal to a 16-week-size pregnant uterus, it starts putting pressure on the ureters that drain your kidneys. So then you have to talk about either a myomectomy for women who want to get pregnant, when you go in and you remove the fibroids, or a hysterectomy for women who are done having children. So fibroids are extremely common, but then again, if you don't do a pelvic ultrasound, just doing a bimanual exam will never tell you if these patients have fibroids.</t>
  </si>
  <si>
    <t>67-68</t>
  </si>
  <si>
    <t>hle_qna_0072</t>
  </si>
  <si>
    <t>CQA-0034</t>
  </si>
  <si>
    <t>What is the lifetime risk of breast cancer for women?</t>
  </si>
  <si>
    <t>Have you heard of that?</t>
  </si>
  <si>
    <t>Lifetime risk of breast cancer?</t>
  </si>
  <si>
    <t>70</t>
  </si>
  <si>
    <t>High - short follow-up</t>
  </si>
  <si>
    <t>Clinical safety review</t>
  </si>
  <si>
    <t>QA-0010</t>
  </si>
  <si>
    <t>CQA-0035</t>
  </si>
  <si>
    <t>This first one is, "Are there any non-invasive methods for the diagnosis of endometriosis, like tests within from the menstrual blood itself?"</t>
  </si>
  <si>
    <t>They're doing a lot of research right now. We don't currently have it. Right now, non-invasive is, well, listen to your patient.</t>
  </si>
  <si>
    <t>74</t>
  </si>
  <si>
    <t>QA-0013</t>
  </si>
  <si>
    <t>CQA-0036</t>
  </si>
  <si>
    <t>Is endometriosis an autoimmune disease?</t>
  </si>
  <si>
    <t>it is. We talked about this, absolutely. And that's why, if you have endometriosis and you're trying to get pregnant, or if you've had a miscarriage, ask your doctor for a full autoimmune panel, because when you have one autoimmune, you have a 30% chance of having another autoimmune disorder.</t>
  </si>
  <si>
    <t>75</t>
  </si>
  <si>
    <t>QA-0014</t>
  </si>
  <si>
    <t>CQA-0037</t>
  </si>
  <si>
    <t>Is cognitive impairment in menopause an absolute occurrence?</t>
  </si>
  <si>
    <t>Not always, but it's extremely common. I call it brain fog. You know, women lose their concentration.</t>
  </si>
  <si>
    <t>QA-0015</t>
  </si>
  <si>
    <t>CQA-0038</t>
  </si>
  <si>
    <t>What do you think is the most overlooked, missed cause of infertility by doctors?</t>
  </si>
  <si>
    <t>Everything we talked about, endo and PCOS, hands down. A lot of these patients who are "unexplained" are undiagnosed PCOS and endometriosis patients.</t>
  </si>
  <si>
    <t>QA-0016</t>
  </si>
  <si>
    <t>CQA-0039</t>
  </si>
  <si>
    <t>What is premenstrual dysphoric disorder (PMDD)?</t>
  </si>
  <si>
    <t>PMDD is a severe form of PMS. Very, very common, devastating for these girls. The best way to describe it is these girls, two weeks out of the month, they're perfect.</t>
  </si>
  <si>
    <t>And could you explain PMDD?</t>
  </si>
  <si>
    <t>76</t>
  </si>
  <si>
    <t>QA-0017</t>
  </si>
  <si>
    <t>CQA-0040</t>
  </si>
  <si>
    <t>How is premenstrual dysphoric disorder (PMDD) treated?</t>
  </si>
  <si>
    <t>If you want to use birth control, there's one form of birth control, Yaz. I don't usually go to it. It helps with the symptoms of PMDD, but these patients actually do really well if you put them on SSRIs or antidepressants for just 10 days during the month. For these patients, you can prescribe 20 milligrams of Prozac 10 to 14 days before their period. So they only take it 10 to 14 days per month. After ovulation, they start taking it once a day, and they stop at the onset of their period. You can also treat them with 25 milligrams of Zoloft. For some reason, their brain responds really well to this pulsatile treatment, and it's a game changer for these patients. PMDD patients, you do want to make sure they don't have a chronic underlying anxiety or depressive disorder, so I always refer them to a psychiatrist, but you can absolutely treat it. For perimenopausal women, you can also treat them with hormone replacement. So someone in her 40s, I want to make sure if she didn't have it and suddenly she has... It's not like she hasn't had PMDD and suddenly she has PMDD. It's probably, it could be perimenopause, so you don't want to miss that.</t>
  </si>
  <si>
    <t>How do you treat it?</t>
  </si>
  <si>
    <t>hle_qna_0086</t>
  </si>
  <si>
    <t>CQA-0041</t>
  </si>
  <si>
    <t>Does endometriosis pain start to wane with perimenopause?</t>
  </si>
  <si>
    <t>it gets better. The problem is, women in their 40s have a lot of adenomyosis, which mimics the symptoms of endometriosis. So these women actually do extremely well with the progesterone IUD.</t>
  </si>
  <si>
    <t>77</t>
  </si>
  <si>
    <t>QA-0019</t>
  </si>
  <si>
    <t>CQA-0042</t>
  </si>
  <si>
    <t>Someone said that their estradiol patch is causing some hair loss. Is there another option?</t>
  </si>
  <si>
    <t>I don't think it's the estradiol patch causing the hair loss. Women who use estradiol patches are going through perimenopause and menopause. One of the issues with perimenopause and menopause is that a drop in estrogen does cause hair thinning. So, for that reason, I would say I usually treat these patients with minoxidil. You can either use Rogaine on your scalp, or you can take oral minoxidil. The prescription is 2.5. You can start with as little as 0.5 every single day. The problem is, hair thinning is very common in menopause, and you want to hit it quick. So if you start noticing that you're losing hair, take the minoxidil. It doesn't work overnight. You will probably start seeing results in about six months, but in two years, you'll see a huge difference in your hair. But hit it early, and it's not the estrogen patch. I doubt it.</t>
  </si>
  <si>
    <t>Intervention Agent; Sleep Agent</t>
  </si>
  <si>
    <t>hle_qna_0088</t>
  </si>
  <si>
    <t>CQA-0043</t>
  </si>
  <si>
    <t>However, you come and give these women estrogen, what happens?</t>
  </si>
  <si>
    <t>You can stimulate these endometriosis implants all over again, and this is what happens. So, endometriosis patients, in general, have a slightly higher increased risk of ovarian cancer, especially the ones with endometriomas or advanced disease. And postmenopause hormone replacement, the estrogen can still stimulate these implants. Now, a lot of women in the healthcare system who have undergone a hysterectomy, meaning they remove their uterus, the doctor says, "You don't need progesterone," because we think we give the progesterone to protect the lining of the uterus from unopposed estrogen causing uterine cancer. Well, that's not true. In patients with endometriosis, even when they undergo a hysterectomy and they're using estrogen patches, you always want to give them the progesterone because otherwise, you stimulate these implants again because of unopposed estrogen. That's one reason, and also we use the progesterone, micronized progesterone, in hormone replacement for patients who are anxious, who are not sleeping well, regardless of whether or not they have a uterus. But endometriosis patients, their hormone replacement should always be with progesterone.</t>
  </si>
  <si>
    <t>77-78</t>
  </si>
  <si>
    <t>Safety Agent; Sleep Agent</t>
  </si>
  <si>
    <t>hle_qna_0089</t>
  </si>
  <si>
    <t>CQA-0044</t>
  </si>
  <si>
    <t>Are there any natural ways to increase progesterone?</t>
  </si>
  <si>
    <t>one reason our body doesn't... When we don't ovulate, we don't make that corpus luteum cyst, and we don't have that progesterone being secreted. So in PCOS, let's say, by lowering your weight, by lowering that visceral fat, by regulating your insulin resistance, you can increase your chance of ovulation.</t>
  </si>
  <si>
    <t>78</t>
  </si>
  <si>
    <t>QA-0020</t>
  </si>
  <si>
    <t>CQA-0045</t>
  </si>
  <si>
    <t>How does diet affect female hormone health?</t>
  </si>
  <si>
    <t>As we get closer to menopause, we become more insulin resistant, regardless of whether we had PCOS or not. So dealing with insulin, almost all of us women deal with insulin resistance at some point in our lives at different degrees. But that goes to what I was telling you, when you load the gun with your genetics, and you pull the trigger with epigenetics, your diet, your exercise, your sleep, your stress, all of that will affect it long term.</t>
  </si>
  <si>
    <t>Hormonal Health Agent; Mental Health Agent</t>
  </si>
  <si>
    <t>QA-0021</t>
  </si>
  <si>
    <t>CQA-0046</t>
  </si>
  <si>
    <t>What can women do to prolong their fertility?</t>
  </si>
  <si>
    <t>But you see? But now you know how to answer it. Don't dismiss your endometriosis.</t>
  </si>
  <si>
    <t>QA-0022</t>
  </si>
  <si>
    <t>CQA-0047</t>
  </si>
  <si>
    <t>Why don't we start off by just talking about what's involved in generating breath?</t>
  </si>
  <si>
    <t>on the mechanical side, which is obvious to everyone, we want to have air flow in, inhale, and we need to have air flow out. And the reason we need to do this is because for body metabolism, we need oxygen, and when oxygen is utilized through the aerobic metabolic process, we produce carbon dioxide.</t>
  </si>
  <si>
    <t>Breathing, the Brain and Health</t>
  </si>
  <si>
    <t>EP-002</t>
  </si>
  <si>
    <t>Jack Feldman</t>
  </si>
  <si>
    <t>81</t>
  </si>
  <si>
    <t>QA-0023</t>
  </si>
  <si>
    <t>CQA-0048</t>
  </si>
  <si>
    <t>Is there anything known about the activation of the diaphragm and the intercostal muscles between the ribs as it relates to nose versus mouth breathing?</t>
  </si>
  <si>
    <t>I don't think we fully have the answer to that. Clearly, there are differences between nasal and mouth breathing. At rest, the tendency is to do nasal breathing because the airflows that are necessary for normal breathing are as easily managed by passing through the nasal cavities.</t>
  </si>
  <si>
    <t>82</t>
  </si>
  <si>
    <t>QA-0024</t>
  </si>
  <si>
    <t>CQA-0049</t>
  </si>
  <si>
    <t>Do you think that our brains are larger than that of other mammals, in part because of the amount of oxygen that we have been able to bring into our system?</t>
  </si>
  <si>
    <t>I would say a key step in the ability to develop a large brain that has a continuous demand for oxygen is the diaphragm. Without a diaphragm, you're an amphibian.</t>
  </si>
  <si>
    <t>84</t>
  </si>
  <si>
    <t>QA-0025</t>
  </si>
  <si>
    <t>CQA-0050</t>
  </si>
  <si>
    <t>How do the lungs pack a large gas-exchange surface area into the chest?</t>
  </si>
  <si>
    <t>Well, you start out with one tube, which is the trachea. The trachea expands. Now you have two tubes, then you have four tubes, and it keeps branching. At some point, at the end of those branches, you put a little sphere, which is an alveolus, and that determines what the surface area is going to be.</t>
  </si>
  <si>
    <t>Now, how do you get a pack, a large surface area in a small chest?</t>
  </si>
  <si>
    <t>Router Agent</t>
  </si>
  <si>
    <t>hle_qna_0097</t>
  </si>
  <si>
    <t>CQA-0051</t>
  </si>
  <si>
    <t>Could you tell us about physiological sighs? What's known about them, what your particular interest in them is, and what they're good for?</t>
  </si>
  <si>
    <t>It turns out we sigh about every five minutes, and I would encourage anyone who finds that to be an unbelievable fact to lie down in a quiet room and just breathe normally. Just relax, just let go, and just pay attention to your breathing, and you'll find that every couple of minutes, you're...</t>
  </si>
  <si>
    <t>85</t>
  </si>
  <si>
    <t>QA-0026</t>
  </si>
  <si>
    <t>CQA-0052</t>
  </si>
  <si>
    <t>Is there any evidence that the sighs that occur during sleep or during states of deep, deep relaxation and sedation, that sighs recover the brain?</t>
  </si>
  <si>
    <t>If you look at the progression of any mammal to a death due to, quote, "natural causes," their breathing slows down, will stop, and then they'll gasp. So we have the phrase "dying gasp." Super large breaths. They're often described as an attempt to auto-resuscitate.</t>
  </si>
  <si>
    <t>87</t>
  </si>
  <si>
    <t>QA-0027</t>
  </si>
  <si>
    <t>CQA-0053</t>
  </si>
  <si>
    <t>What is the relationship between brain state and breathing?</t>
  </si>
  <si>
    <t>This is a topic which has really intrigued me over the past decade. I would say before that, I was in my silo, just interested about how the rhythm of breathing is generated, and didn't really pay much attention to this other stuff. For some reason, I got interested in it.</t>
  </si>
  <si>
    <t>QA-0028</t>
  </si>
  <si>
    <t>CQA-0054</t>
  </si>
  <si>
    <t>What are some other examples that you are aware of from work in your laboratory or work in other laboratories, for that matter, about interactions between breathing and brain state or emotional state?</t>
  </si>
  <si>
    <t>I want people to understand that when we're talking about breathing affecting emotional or cognitive state, it's not simply coming from pre-Bötzinger. There are several other sites. I need to sort of go through that.</t>
  </si>
  <si>
    <t>89</t>
  </si>
  <si>
    <t>QA-0029</t>
  </si>
  <si>
    <t>CQA-0055</t>
  </si>
  <si>
    <t>What are some of the other features of our brain and body, be it blinking or eye movements or ability to encode sounds, or any features of the way that we function, move, and perceive things that are coordinated with breathing in some interesting way?</t>
  </si>
  <si>
    <t>Almost everything. So we have, for example, on the autonomic side, we have respiratory sinus arrhythmia. That is, during expiration, the heart slows down.</t>
  </si>
  <si>
    <t>91</t>
  </si>
  <si>
    <t>QA-0030</t>
  </si>
  <si>
    <t>CQA-0056</t>
  </si>
  <si>
    <t>What do you do with all this knowledge in terms of a breathing practice?</t>
  </si>
  <si>
    <t>I find I get tremendous benefit by relatively short periods, between 5 and maybe 20 minutes, of doing box breathing. It's very simple to do. I'm now trying this Tummo because I'm just curious and exploring it, because it may be acting through a different way, and I want to see if I respond differently.</t>
  </si>
  <si>
    <t>92</t>
  </si>
  <si>
    <t>QA-0031</t>
  </si>
  <si>
    <t>CQA-0057</t>
  </si>
  <si>
    <t>Would you mind just sharing with us a little bit about what that interest is, where it stems from? And because it's the Huberman Lab podcast, and we often talk about supplementation, what you do with that information?</t>
  </si>
  <si>
    <t>So I need to disclose that I am a scientific advisor to a company called Neurocentria, which my graduate student, Guosong Liu, is CEO. So, that said, I can give you some background. Guosong, although when he was in my lab, worked on breathing, had a deep interest in learning and memory.</t>
  </si>
  <si>
    <t>93</t>
  </si>
  <si>
    <t>QA-0033</t>
  </si>
  <si>
    <t>CQA-0058</t>
  </si>
  <si>
    <t>And one of the questions that arose was, if I have inputs to a neuron and I get LTP, is the LTP bigger if the signal is bigger or the noise is less?</t>
  </si>
  <si>
    <t>So we can imagine that when we're listening to something, if it's louder, we can hear it better, or if there's less noise, we can hear it better. And he wanted to investigate this.</t>
  </si>
  <si>
    <t>hle_qna_0107</t>
  </si>
  <si>
    <t>CQA-0059</t>
  </si>
  <si>
    <t>Do you recall what the dose is of magnesium threonate?</t>
  </si>
  <si>
    <t>It's in the paper, and it's basically what they have in the compound, which is sold commercially.</t>
  </si>
  <si>
    <t>95</t>
  </si>
  <si>
    <t>QA-0034</t>
  </si>
  <si>
    <t>CQA-0060</t>
  </si>
  <si>
    <t>So where in the brain do our eyes and our ears first come together to impact our perception of life? We know where the door is, and we know where the tea kettle ought to be, but where do these things first collide?</t>
  </si>
  <si>
    <t>The story that is triggered by that question is a little bit long, so maybe I can start at the beginning of when I first got interested in this question.</t>
  </si>
  <si>
    <t>How the Brain Represents the Senses, Space and Thought</t>
  </si>
  <si>
    <t>EP-003</t>
  </si>
  <si>
    <t>Jennifer Groh</t>
  </si>
  <si>
    <t>98</t>
  </si>
  <si>
    <t>QA-0036</t>
  </si>
  <si>
    <t>CQA-0061</t>
  </si>
  <si>
    <t>So is that all happening, and we've been talking about the superior colliculus in this structure, the superior colliculus, below our neocortex, meaning is it below our kind of conscious awareness?</t>
  </si>
  <si>
    <t>You know, gosh, I wish we knew where conscious awareness was.</t>
  </si>
  <si>
    <t>101</t>
  </si>
  <si>
    <t>QA-0037</t>
  </si>
  <si>
    <t>CQA-0062</t>
  </si>
  <si>
    <t>Right, so let's say a dialogue on a screen between two characters and then maybe there's an explosion in the background, or another character walks in the room, that the source of the sound for us, whether it's a computer or speakers in the room or a movie theater or earbuds, is always constant, but we can quickly move the sound with our eyes, or our eyes move the sound with our ears?</t>
  </si>
  <si>
    <t>Yeah. Let me amend a little bit here because it depends a lot on how the sound is mixed. They can put in some spatial cues, but if they haven't done that, then what we just said applies. And I think some of my favorite videos for really appreciating this are videos of actual ventriloquists working with their puppets. Because there they are, the puppeteer is speaking, and they're making it seem like the puppet is speaking, and they're making our perception switch back and forth from their own face to the puppet face, back and forth, depending on what they're actually saying.</t>
  </si>
  <si>
    <t>103-104</t>
  </si>
  <si>
    <t>hle_qna_0114</t>
  </si>
  <si>
    <t>CQA-0063</t>
  </si>
  <si>
    <t>Like, do kids come into the world understanding how to merge sight and sound, or is that a learned phenomenon?</t>
  </si>
  <si>
    <t>It has to be learned, and it has to be continuously updated during the course of development until you reach your adult body size. So let me back up a little bit and talk about how we localize sound, especially when we're not talking about screens and videos and movies and whatnot, but just out there in the real world. The way we tell where a sound is coming from is by the physics of the world causing differential delays for the sound to arrive at one ear versus the other. So sound takes a certain amount of time. You know, a sound coming from over here will get to this ear before it gets to this ear, and it'll be slightly louder in this ear than in this one. It's closer, but also there's a kind of acoustic shadow cast by the head. So the sound wave has to kind of come and then go around, and there's a little sort of dip in the sound intensity cast by the shadow of the head. I like to think about the timing cues because they're really easy to calculate. So if you know how far apart your ears are, and you know what the speed of sound is, then you can figure out what the delay is for the sound to reach this ear after this ear. I often take off my glasses to measure the distance between my two ears that way. And it's something like about a half a millisecond, is the largest delay you can experience. Half a millisecond. So this is tiny, and that is for the difference between a sound here versus a sound here.</t>
  </si>
  <si>
    <t>104-105</t>
  </si>
  <si>
    <t>hle_qna_0116</t>
  </si>
  <si>
    <t>CQA-0064</t>
  </si>
  <si>
    <t>Are there conditions where we think we hear something from one location, but it's actually arising from another location that's outside an experimental context?</t>
  </si>
  <si>
    <t>Absolutely. So if you have hearing loss in one ear only, then it's very difficult to localize sound.</t>
  </si>
  <si>
    <t>108</t>
  </si>
  <si>
    <t>QA-0040</t>
  </si>
  <si>
    <t>CQA-0065</t>
  </si>
  <si>
    <t>Do people with damage to their ears have issues hearing?</t>
  </si>
  <si>
    <t>Have issues with that?</t>
  </si>
  <si>
    <t>QA-0041</t>
  </si>
  <si>
    <t>CQA-0066</t>
  </si>
  <si>
    <t>So when the psychologists say that we can't speak and hear at the same time, they're 100% accurate?</t>
  </si>
  <si>
    <t>We cannot. And then the third thing is that, this maybe goes back to the first point about the recording doesn't capture all of it, is that some of what we are picking up is actually through bone conduction. You may have bone conduction headphones. I certainly do. These are headphones that don't go over the ears. They don't go in the ears. They're usually positioned right in front of the ears, delivering the vibration signals to the bone right in front of your ear, and that can get transmitted into your ears as well. I have these-</t>
  </si>
  <si>
    <t>112-113</t>
  </si>
  <si>
    <t>hle_qna_0119</t>
  </si>
  <si>
    <t>CQA-0067</t>
  </si>
  <si>
    <t>How do I know the difference between a sound that's right in front of my face versus far away with my eyes closed?</t>
  </si>
  <si>
    <t>This is a computational process in the brain that we don't fully understand, and it's worth thinking about, what are the available pieces of information that you could use? Sound is much more bendy than light is. Bendy, like it bends, right?</t>
  </si>
  <si>
    <t>117</t>
  </si>
  <si>
    <t>hle_qna_0121</t>
  </si>
  <si>
    <t>CQA-0068</t>
  </si>
  <si>
    <t>So, you're saying it's because it can bend around objects?</t>
  </si>
  <si>
    <t>Well, I don't really know what the choices that are being made are by the people whose job it is to figure these kinds of things out. But I'm sure that there's some thought being given to the receiver, you know, the people, and what they can perceive. So, let's take a couple of other examples of warning systems that humans use. The gas in a gas stove doesn't have an intrinsic odor to it. There's an odorant that's been added. That rotten egg, yeah, exactly. And so, you know, that was chosen a long time ago to be added, and it turns out to be a good thing because it doesn't really smell like anything else. It's not pleasant, but everybody can detect it. I don't know of any cases of people who can't smell that, unless they have a generalized anosmia, where they can't smell anything. Traffic lights are maybe a little bit of a less of a win, because you've got red versus green. And 6% of the population is red/green color blind, which operationally means not that you can't see a red stimulus or a green stimulus, but that you can't tell the difference, you know, whether or not something is red or green.</t>
  </si>
  <si>
    <t>125-126</t>
  </si>
  <si>
    <t>hle_qna_0125</t>
  </si>
  <si>
    <t>CQA-0069</t>
  </si>
  <si>
    <t>What do high ceilings do for our perception of sound, given that there's a lot of space for the sound to travel?</t>
  </si>
  <si>
    <t>I'm not sure that I can add something that's really specific to that particular circumstance, but to say more generally that the sounds that we experience in a particular setting are really the combination of all of the reflective surfaces that are in that setting.</t>
  </si>
  <si>
    <t>151</t>
  </si>
  <si>
    <t>QA-0048</t>
  </si>
  <si>
    <t>CQA-0070</t>
  </si>
  <si>
    <t>Do you think this is used to amplify aspects of the music?</t>
  </si>
  <si>
    <t>Yeah, maybe that's why some of the older genres of music can be a little slower. A lot more-Yeah, longer sustained notes, because you don't want to have too many transitions from one note to the next. Gregorian chant is a wonderful example of really kind of long, slow, sustained, many different voices blending together, versus a much faster, like Mozart, minuet or something like that. Like, those notes would just jumble together with the kind of delay that we're talking about.</t>
  </si>
  <si>
    <t>151-152</t>
  </si>
  <si>
    <t>hle_qna_0130</t>
  </si>
  <si>
    <t>CQA-0071</t>
  </si>
  <si>
    <t>What are your thoughts on the use of sound as a way to change brain state?</t>
  </si>
  <si>
    <t>so I want to back up on this question because I think you're asking a pretty deep question. One might wonder, why would that matter? Like, what is actually going on in our brain that that kind of pairing would have an effect, regardless of what might turn out to be sort of the best option?</t>
  </si>
  <si>
    <t>155</t>
  </si>
  <si>
    <t>QA-0051</t>
  </si>
  <si>
    <t>CQA-0072</t>
  </si>
  <si>
    <t>Was it always the case, or do you think the advent of phones has made it such that you have this sort of step function?</t>
  </si>
  <si>
    <t>No, I've always had a problem with the internet. The phone is just the way in.</t>
  </si>
  <si>
    <t>168</t>
  </si>
  <si>
    <t>QA-0055</t>
  </si>
  <si>
    <t>CQA-0073</t>
  </si>
  <si>
    <t>He's not like, "Why can't I get this thing out?" And so, he's very much in flow with his own, you know, peaks and valleys and attention.</t>
  </si>
  <si>
    <t>Being blocked can mean you don't know yet what needs to come next.</t>
  </si>
  <si>
    <t>172</t>
  </si>
  <si>
    <t>QA-0056</t>
  </si>
  <si>
    <t>CQA-0074</t>
  </si>
  <si>
    <t>I think it's useful for me to try to be aware of, what do I want to get out of my phone right now, and am I just bored?</t>
  </si>
  <si>
    <t>You know, if I'm using it because I'm just bored, that's the thing that, okay, let me see if I can swap it out for something that might be a little healthier, like listening to a podcast, or listening to an audiobook, or reading a book on my phone, or reading an actual book. That can be good. I've tried to set myself up with some exit paths from being on my phone. Like, okay, yes, I will admit, it's one of the first things I do in the morning. I know I should go outside and touch grass and get some sun.</t>
  </si>
  <si>
    <t>185</t>
  </si>
  <si>
    <t>hle_qna_0158</t>
  </si>
  <si>
    <t>CQA-0075</t>
  </si>
  <si>
    <t>Tell us about hearing loss. How do we avoid it?</t>
  </si>
  <si>
    <t>Absolutely. So hearing loss is a huge problem. It currently affects one and a half billion people and disables half a billion of them. And the World Health Organization estimates that another billion will be affected by 2050. So, this is an enormous issue, and it's really underappreciated and stigmatized, and lots of people live in silence. For example, for those who have problems with their vision, they wear glasses, and glasses can restore their vision back to normal, to the point that people now wear glasses even if they don't need them. It's a fashion statement. However, that's not the case for hearing loss, and it's because hearing aids are aids, like the name says. They don't restore hearing back to normal. So to answer your question, I think we really should review how hearing works. So the way we hear is when sound comes and travels down the ear canal, it vibrates the eardrum. The fancy term for it is the tympanic membrane. That sets in motion the smallest bones in the body. They're called the malleus, incus, and stapes, which is Latin for the hammer, the anvil, and the stir bone. As they vibrate, they set in motion fluids in the inner ear, and this is where these incredibly delicate sensory cells reside. They're called hair cells, but that has nothing to do with this hair. And as they deflect their sensors on top of their surface, which are called stereocilia, that leads to flow of ionic current and release of neurotransmitter and excitation of the auditory nerve, which then sends signals all the way to the brain. So in the inner ear, occurs this, it's called mechano-electrical transduction, because we are converting a mechanical stimulus into an electrical one. And there are two broad categories of hearing loss. One is the so-called conductive hearing loss and the other is sensory neural hearing loss. The conductive hearing loss, affects the ability of sounds to be conducted to the inner ear. That can be if there is a hole in the eardrum or there's fluid behind the eardrum, or these hearing bones don't vibrate, they're frozen, because of a disease process. There are surgical treatment options for that type of hearing loss, and non-surgicals, which include amplification with hearing aids. So that's an easier type of hearing loss to have. But the more common type of hearing loss is the sensory neural hearing loss.</t>
  </si>
  <si>
    <t>Hearing, Balance and Brain Health</t>
  </si>
  <si>
    <t>EP-004</t>
  </si>
  <si>
    <t>Konstantina Stankovic</t>
  </si>
  <si>
    <t>193-194</t>
  </si>
  <si>
    <t>hle_qna_0160</t>
  </si>
  <si>
    <t>CQA-0076</t>
  </si>
  <si>
    <t>I think most people don't think about hearing that way, and so could you explain for us the elements within sound waves that create this incredible architecture that we call the perception of hearing?</t>
  </si>
  <si>
    <t>Sounds as they set in motion the tympanic membrane, the eardrum, and then lead to motion of hearing bones; there are different modes of vibration depending on both sound intensity and frequency. Once they get transmitted to vibration within the inner ear, everything is tuned in the inner ear.</t>
  </si>
  <si>
    <t>196</t>
  </si>
  <si>
    <t>QA-0064</t>
  </si>
  <si>
    <t>CQA-0077</t>
  </si>
  <si>
    <t>Would I call out in a higher pitched, lower pitched, or whatever my typical voice happened to be, assuming that I'm going to call out at the greatest intensity in either case? Which sound frequency is going to travel furthest and/or have the greatest likelihood of reaching somebody's ears and having them perceive it?</t>
  </si>
  <si>
    <t>You partly answered your question because sound intensity is the key, and as humans, we can produce only sounds of certain frequencies and throughout history, people have used horns. Horns really work.</t>
  </si>
  <si>
    <t>198</t>
  </si>
  <si>
    <t>QA-0065</t>
  </si>
  <si>
    <t>CQA-0078</t>
  </si>
  <si>
    <t>I know this might seem like a silly question, but based on the pure mechanics of everything we're talking about, especially ears, do people with larger ears hear better than people with smaller ears?</t>
  </si>
  <si>
    <t>I don't think that's been studied.</t>
  </si>
  <si>
    <t>200</t>
  </si>
  <si>
    <t>QA-0066</t>
  </si>
  <si>
    <t>CQA-0079</t>
  </si>
  <si>
    <t>Is this a vestigial thing from, I don't know, from some other animal that we once were?</t>
  </si>
  <si>
    <t>Some people indeed can do it. It's not common, and as far as we know, doesn't convey any advantage in modern world to human hearing.</t>
  </si>
  <si>
    <t>hle_qna_0168</t>
  </si>
  <si>
    <t>CQA-0080</t>
  </si>
  <si>
    <t>And let's leave outside, you know, big loud bangs or, you know, high shrill things that really, like, impact our pain system. So, is there something known about how different sounds impact emotionality?</t>
  </si>
  <si>
    <t>Oh yes! Absolutely. That, really; the brain has evolved to perceive and manage sensory inputs. And sound is one of these sensory inputs, and it's critical for emotional well-being. We have thus far talked about the periphery, what happens in the inner ear and how those signals are then transmitted all the way to the brain. Well, there are numerous relay stations from the ear to the brain, to the cortex. They are in the, brain stem and midbrain all the way to the cortex. And these auditory pathways have very strong links with emotional pathways and the limbic system. And in fact, that's why music, hearing music can really move us. That's why, remarkable speeches of impressive leaders can get people aroused and motivated to do something. So that link between hearing and emotion is really strong, well-established, and sometimes can be detrimental, for example, for people with tinnitus. So tinnitus, it's a phantom sound. It's produced by the brain, typically in response to a reduced input to the brain. So the brain makes up the sound that it's normally not detecting.</t>
  </si>
  <si>
    <t>201-202</t>
  </si>
  <si>
    <t>hle_qna_0169</t>
  </si>
  <si>
    <t>CQA-0081</t>
  </si>
  <si>
    <t>Is the relationship between our cringing, our physical cringing, and these high-frequency sounds, is that a pain offset mechanism?</t>
  </si>
  <si>
    <t>Mm hmm, mm hmm.</t>
  </si>
  <si>
    <t>202</t>
  </si>
  <si>
    <t>QA-0067</t>
  </si>
  <si>
    <t>CQA-0082</t>
  </si>
  <si>
    <t>Bright light that we normally might like, suddenly becomes aversive, and it can give us headaches and this kind of thing. Are there similar pathways in the auditory system?</t>
  </si>
  <si>
    <t>There are. There is this phenomenon of hyperacusis or even phonophobia. And when it comes to hyperacusis, it frequently accompanies hearing loss. And really, what happens in people with hearing loss is that sounds have to be loud enough for them to hear them. But if they are too loud, that can be painful, very uncomfortable. So their dynamic range of hearing is reduced. And, pretty much everybody with hearing loss experiences that. Now, to have a real fear of sound, phonophobia, that's not common, and it's usually linked with some underlying mental health condition. It's more common in people with obsessive-compulsive, disorder or personality trait and other conditions.</t>
  </si>
  <si>
    <t>203</t>
  </si>
  <si>
    <t>hle_qna_0170</t>
  </si>
  <si>
    <t>CQA-0083</t>
  </si>
  <si>
    <t>I fear I've done this, and you get too close to the speakers or they're just turned up too loud, and the acoustics of the room make it such that you have ringing in your ears the next day. If you have ringing in your ears after a concert or some other auditory experience, does that mean that some level of permanent damage was done?</t>
  </si>
  <si>
    <t>And why I say possibly is that until, maybe 10 years ago, we thought that if you go to a concert like that, you have ringing in your ears, you may even feel like your ear is clogged, and then it goes away, that that is temporary threshold shift. But now we know that some forms of temporary threshold shift are in fact permanent. Although your hearing may come back, and in fact we can see it on audiometric testing, we now know that the wheel has been set in motion, where synapses that connect these sensory cells to neurons that contact them have been damaged or destroyed by loud sound. It takes them a long time to degenerate, and in fact, it's led to the concept of the so-called hidden hearing loss. So, there is obvious hearing loss that you can measure on audiograms, but now we have a new appreciation for the type of hearing loss that you are describing, and it's more common among young people, and if they go through standard audiometric testing, it'll be perfect. All of their audiometric thresholds are fine. However, they report that they cannot hear clearly in a noisy background, or they have this tinnitus that they didn't have before.</t>
  </si>
  <si>
    <t>205-206</t>
  </si>
  <si>
    <t>hle_qna_0172</t>
  </si>
  <si>
    <t>CQA-0084</t>
  </si>
  <si>
    <t>What does the decibel scale mean?</t>
  </si>
  <si>
    <t>Decibel, it's a logarithmic scale because we had to compress an enormous scale that's really a million-fold from the softest sound to the loudest sound that we can hear. We compressed it to a linear scale. That looks linear, it's not, but it's a logarithmic scale.</t>
  </si>
  <si>
    <t>And what does that mean?</t>
  </si>
  <si>
    <t>206</t>
  </si>
  <si>
    <t>hle_qna_0173</t>
  </si>
  <si>
    <t>CQA-0085</t>
  </si>
  <si>
    <t>First of all, why does music have to be that loud?</t>
  </si>
  <si>
    <t>It's kind of a peer pressure phenomenon because most people don't even enjoy it when it's that loud, but they feel like they should because somehow it's a kind of being youthful.</t>
  </si>
  <si>
    <t>207</t>
  </si>
  <si>
    <t>hle_qna_0175</t>
  </si>
  <si>
    <t>CQA-0086</t>
  </si>
  <si>
    <t>So, what can you do to protect your hearing if you're going to a loud concert like that?</t>
  </si>
  <si>
    <t>Definitely wear earplugs. You can even measure sound intensities if you want to be very quantitative about it, because now you have a rough formula. You can get a dB app on your phone. It's free. You can measure it.</t>
  </si>
  <si>
    <t>208</t>
  </si>
  <si>
    <t>hle_qna_0176</t>
  </si>
  <si>
    <t>CQA-0087</t>
  </si>
  <si>
    <t>Is it something about the lymph, that they sort of the chemical architecture of the cochlear environment? Is it happening at the level of the brain?</t>
  </si>
  <si>
    <t>I think it's probably both, at both levels. And by the way, going back to supplementation, really the best way is to have a healthy diet.</t>
  </si>
  <si>
    <t>210</t>
  </si>
  <si>
    <t>Lifestyle Agent; Nutrition and Body Agent</t>
  </si>
  <si>
    <t>QA-0069</t>
  </si>
  <si>
    <t>CQA-0088</t>
  </si>
  <si>
    <t>Actually, that reminds me to ask, is there any evidence that taking magnesium can help slow, reverse, or prevent tinnitus?</t>
  </si>
  <si>
    <t>What is known is that for some people with tinnitus, in the setting of migraine, magnesium supplementation really helps.</t>
  </si>
  <si>
    <t>QA-0070</t>
  </si>
  <si>
    <t>CQA-0089</t>
  </si>
  <si>
    <t>So, for people that have tinnitus or that don't want to get tinnitus, do you see any harm in them, kind of emphasizing magnesium intake through food and/or supplementation?</t>
  </si>
  <si>
    <t>That really hasn't been studied for any type of tinnitus. It's been studied in the context of migraine, and there, it really helps. And tinnitus, it's an umbrella term.</t>
  </si>
  <si>
    <t>212</t>
  </si>
  <si>
    <t>QA-0071</t>
  </si>
  <si>
    <t>CQA-0090</t>
  </si>
  <si>
    <t>What does that mean? That, at one point, they had the CMV virus, and they felt it as a cold or a flu, but it was CMV?</t>
  </si>
  <si>
    <t>Indeed. And some of these viruses, they stay dormant and live with us forever. And then when the immune system gets weakened, then they can wreak havoc. And some of the other viruses from the herpes family, like, Epstein-Barr virus, EBV, it's actually linked to different cancer types, including nasopharyngeal cancer. So, that's yet another cause of hearing loss, infectious hearing loss. Then there is immunologic hearing loss, when there is no infection, but it's an inflammation, such as in people with celiac disease or rheumatoid arthritis. They may have a higher predisposition to developing hearing loss, not only because the little tiny joints in the middle ear become fixed and don't vibrate as well, but also because the inner ear is injured. So, when we now say sensory neural hearing loss, we actually cannot specifically say exactly what's wrong.</t>
  </si>
  <si>
    <t>hle_qna_0179</t>
  </si>
  <si>
    <t>CQA-0091</t>
  </si>
  <si>
    <t>So, is there any evidence that there's anything that people could safely experiment with? But is there any indication that people can take something, or is it really the case that they need to go see a proper auditory neurophysiologist or clinician like you, and get treated for tinnitus?</t>
  </si>
  <si>
    <t>it's the latter that they need to really be evaluated.</t>
  </si>
  <si>
    <t>216</t>
  </si>
  <si>
    <t>QA-0072</t>
  </si>
  <si>
    <t>CQA-0092</t>
  </si>
  <si>
    <t>But what if I don't use this decibel meter app?</t>
  </si>
  <si>
    <t>then, if anyone can hear what you are listening to who's standing by you, it's too loud. So, that's a good rule of thumb.</t>
  </si>
  <si>
    <t>221</t>
  </si>
  <si>
    <t>QA-0074</t>
  </si>
  <si>
    <t>CQA-0093</t>
  </si>
  <si>
    <t>Is there any detriment to listening in one ear? Is there any detriment to that?</t>
  </si>
  <si>
    <t>Not really, as long as it's at the safe sound levels. It's really all about what is the sound level that's damaging, and it's not the same level for all. In fact, if you have a construction worker, and you have two of them being exposed to exactly the same levels of noise, one may lose hearing very quickly, and the other may work in that environment for 20 years and have really mild hearing loss.</t>
  </si>
  <si>
    <t>QA-0075</t>
  </si>
  <si>
    <t>CQA-0094</t>
  </si>
  <si>
    <t>So, if I wear earplugs, and then take them out, do I need to be especially careful about... In other words, are my ears more susceptible than they normally would be, if I'm coming from a very quiet environment, or a noise cancellation headphone environment?</t>
  </si>
  <si>
    <t>They are. And the way we know that is from people who have hyperacusis, that we alluded to before, and they are just so uncomfortable being in loud environments, or even what we consider normal auditory environments, that they wear earplugs. But then when they pull them out, everything is unbearably loud. So, in fact, the first thing, in terms of counseling them, we say, “Well, take out your earplugs. You have to get used to the normal listening environments.” And we already know that the brain is amazing. It can get used to different stimuli, and it's important that it gets natural input so that it can work normally. Otherwise, indeed, it can calibrate in ways that are unhealthy. Yes.</t>
  </si>
  <si>
    <t>224</t>
  </si>
  <si>
    <t>hle_qna_0189</t>
  </si>
  <si>
    <t>CQA-0095</t>
  </si>
  <si>
    <t>At what stage does the fetus begin to hear or sense mechanical waves at the level of the cochlea?</t>
  </si>
  <si>
    <t>In the second trimester.</t>
  </si>
  <si>
    <t>225</t>
  </si>
  <si>
    <t>QA-0077</t>
  </si>
  <si>
    <t>CQA-0096</t>
  </si>
  <si>
    <t>And the reason I ask is, I mean, can they hear a whisper? What can they hear?</t>
  </si>
  <si>
    <t>As you can imagine, challenging experiments to perform, and some are based on electrophysiologic data, and others are done based on imaging, and there's only so much you can do to pregnant women, for safety reasons. So, it's actually hard to precisely answer your question, but what is clear, that the fetus can hear the mother's voice.</t>
  </si>
  <si>
    <t>QA-0078</t>
  </si>
  <si>
    <t>CQA-0097</t>
  </si>
  <si>
    <t>But should we be more thoughtful about the hearing of our cats, and dogs, and other animals?</t>
  </si>
  <si>
    <t>Of all animals, absolutely. And the most striking example is actually sea animals, like whales and dolphins. All of that noise generated by big ships and motorized vehicles that are in the water are damaging their hearing and modes of communication, to astounding and scary ways.</t>
  </si>
  <si>
    <t>226</t>
  </si>
  <si>
    <t>QA-0079</t>
  </si>
  <si>
    <t>CQA-0098</t>
  </si>
  <si>
    <t>Are there any efforts being made to try and create limitations on where sound pollution or how much sound pollution can occur in the oceans?</t>
  </si>
  <si>
    <t>It's hard, because it's not even tightly regulated for people on land.</t>
  </si>
  <si>
    <t>227</t>
  </si>
  <si>
    <t>QA-0080</t>
  </si>
  <si>
    <t>CQA-0099</t>
  </si>
  <si>
    <t>Here, you and I are sitting in a room that is essentially silent, except for a few noises around us from time to time, but if we go to a loud environment, within a few moments, we can hold a conversation and essentially rule out all the other sounds. Do we know where in the brain that occurs?</t>
  </si>
  <si>
    <t>It's a brain thing. It's a circuit. And it's absolutely essential for understanding speech in noise. In fact, people with hearing loss typically experience problems understanding speech in noise. They have no problem in a quiet and facing you. In fact, that's a big message for everyone who is listening, that it's more important to face someone and speak slowly if they have hearing loss than speaking loudly, I mean, than yelling. And so, if someone has hearing loss, and you are trying to talk to them with water running, or a TV on, or you're trying to talk to them from a different room, forget about it. You really have to face them, and it has to be quiet, and you have to slow down, and then they can really understand so much more.</t>
  </si>
  <si>
    <t>229</t>
  </si>
  <si>
    <t>hle_qna_0195</t>
  </si>
  <si>
    <t>CQA-0100</t>
  </si>
  <si>
    <t>Do non-deaf, non-hearing impaired people lipread? Are we always lipreading a little bit and we don't realize it?</t>
  </si>
  <si>
    <t>Some people are better than others, and as we've been discussing all along, it's not that one size fits all.</t>
  </si>
  <si>
    <t>231</t>
  </si>
  <si>
    <t>QA-0083</t>
  </si>
  <si>
    <t>CQA-0101</t>
  </si>
  <si>
    <t>It has a dominant frequency, I guess in your world they call it what, a frequency envelope? So, how does that work in real time?</t>
  </si>
  <si>
    <t>It is incredible. And you actually bring two really interesting points, one about sleep. So, what studies have shown is that the ideal sleeping environment is what bears do when they hibernate.</t>
  </si>
  <si>
    <t>234</t>
  </si>
  <si>
    <t>QA-0084</t>
  </si>
  <si>
    <t>CQA-0102</t>
  </si>
  <si>
    <t>Do we have any idea why the auditory system and the vestibular system co-evolved in the inner ear, in the cochlea?</t>
  </si>
  <si>
    <t>Is it just a function of neighborhood, or is there something fundamental there that perhaps we can glean from other species, that tells us, “Oh, this is...” Sort of like with the eye and the pineal.</t>
  </si>
  <si>
    <t>236</t>
  </si>
  <si>
    <t>hle_qna_0201</t>
  </si>
  <si>
    <t>CQA-0103</t>
  </si>
  <si>
    <t>So did the auditory system and the vestibular system start from the same origin and split?</t>
  </si>
  <si>
    <t>They both sense vibration, and vibration is such a fundamental phenomenon, if you think about it in terms of the universe. It's these vibrations that are everywhere around us, electromagnetic vibrations.</t>
  </si>
  <si>
    <t>237</t>
  </si>
  <si>
    <t>QA-0085</t>
  </si>
  <si>
    <t>CQA-0104</t>
  </si>
  <si>
    <t>So, I wonder what is known about the relationship between auditory development and social cognitive development and mental health?</t>
  </si>
  <si>
    <t>There are really strong ties, and it's a very active area of research. And like you said, hearing is such an essential sense, and hypersensitivity and sensory hypersensitivity or dysfunction beyond hearing can be a part of both mental health disorders, as well as on the other end of the spectrum, developmental disorders.</t>
  </si>
  <si>
    <t>243</t>
  </si>
  <si>
    <t>QA-0088</t>
  </si>
  <si>
    <t>CQA-0105</t>
  </si>
  <si>
    <t>So, you can go in and out the same day?</t>
  </si>
  <si>
    <t>and out the same day. It takes only an hour or two. By now it's become routine.</t>
  </si>
  <si>
    <t>244</t>
  </si>
  <si>
    <t>QA-0089</t>
  </si>
  <si>
    <t>CQA-0106</t>
  </si>
  <si>
    <t>Do men or women, on average, these are always averages, hear better? Meaning with more sensitivity, can detect either different frequencies or thresholds of sounds as compared to the other group?</t>
  </si>
  <si>
    <t>What we know is that women tend to have better hearing premenopausally, but post-menopausally, they catch up to men. So there are data showing that estrogen contributes to better hearing and now, larger-scale epidemiologic studies are being conducted. As you know, for the longest time women were not really studied in lots of clinical trials.</t>
  </si>
  <si>
    <t>245</t>
  </si>
  <si>
    <t>QA-0093</t>
  </si>
  <si>
    <t>CQA-0107</t>
  </si>
  <si>
    <t>Actually, before I move on, I should ask you, are there any other drugs or things that you might put into the absolutely avoid, maybe avoid because we're looking into it?</t>
  </si>
  <si>
    <t>You know, people... We're not trying to create hypochondriasis here, but I think people who listen to this podcast often are interested in things that they can do to take better care of themselves.</t>
  </si>
  <si>
    <t>250</t>
  </si>
  <si>
    <t>hle_qna_0218</t>
  </si>
  <si>
    <t>CQA-0108</t>
  </si>
  <si>
    <t>What's known about shaping of the auditory system? I'm sure you do all the things to take care of your auditory system, and I'm sure you tell the people in your life to take care of their auditory system, but what sorts of things do you do to enrich your auditory system?</t>
  </si>
  <si>
    <t>That's a great question, and I agree with you. I love to listen to music like you. I also love to sing.</t>
  </si>
  <si>
    <t>255</t>
  </si>
  <si>
    <t>QA-0099</t>
  </si>
  <si>
    <t>CQA-0109</t>
  </si>
  <si>
    <t>What time are you going to be home?” And they will have written that or spoken that, but it will look as if it's a video of them. Do you think that's going to be better than where we're at now?</t>
  </si>
  <si>
    <t>I think it's a really interesting question. There is a splitting of the senses. I think integrating senses is really important, and we already know that.</t>
  </si>
  <si>
    <t>256</t>
  </si>
  <si>
    <t>QA-0100</t>
  </si>
  <si>
    <t>CQA-0110</t>
  </si>
  <si>
    <t>And can I assimilate more than 30 grams of protein under certain circumstances? What's the deal with this protein assimilation thing?</t>
  </si>
  <si>
    <t>Well, you elucidated one of the issues right in the question. Are we talking about isolated, quickly digesting protein, or are we talking about a slower digesting protein, or are we talking about any one of those within the context of a mixed macro-nutrient meal with carbohydrate, fat, fiber?</t>
  </si>
  <si>
    <t>Nutrition and Fitness for Body Composition</t>
  </si>
  <si>
    <t>EP-005</t>
  </si>
  <si>
    <t>Alan Aragon</t>
  </si>
  <si>
    <t>260</t>
  </si>
  <si>
    <t>QA-0101</t>
  </si>
  <si>
    <t>CQA-0111</t>
  </si>
  <si>
    <t>Let's just leave cardiovascular training separately for the moment. Post-resistance training, what would that number be? Would it be 20, 30, 50, or 100? Should it scale with body weight? And how long after training should one consume that protein, if the goal is muscle protein synthesis?</t>
  </si>
  <si>
    <t>To maximize muscle protein synthesis, regardless of whether it's post exercise, and MPS will be larger with the protein dosing post-exercise, than at resting or fasting. To maximize MPS, we really haven't seen doses beyond 50-ish grams, 30 or so, to 50. My colleague, Brad Schoenfeld, and I, we scoured the literature, and we wrote this paper on 'What is the maximal anabolic dose of protein per meal for the goal of muscle building?' And we boiled it down to somewhere between 0.4 to roughly 0.6 grams per kilogram of body weight. And so, in freedom units, we're talking 0.2 to 0.25 grams per pound, and that is what appears to max out muscle protein synthesis. 0.2 to 0.25. Yes. Yeah, so like about a quarter of your body weight in pounds, if you're looking at grams of protein, to maximize muscle protein synthesis. Yes, per meal.</t>
  </si>
  <si>
    <t>262</t>
  </si>
  <si>
    <t>Lifestyle Agent; Intervention Agent</t>
  </si>
  <si>
    <t>hle_qna_0226</t>
  </si>
  <si>
    <t>CQA-0112</t>
  </si>
  <si>
    <t>My colleague, Brad Schoenfeld, and I, we scoured the literature, and we wrote this paper on 'What is the maximal anabolic dose of protein per meal for the goal of muscle building?' And we boiled it down to somewhere between 0.4 to roughly 0.6 grams per kilogram of body weight.</t>
  </si>
  <si>
    <t>And so, in freedom units, we're talking 0.2 to 0.25 grams per pound, and that is what appears to max out muscle protein synthesis.</t>
  </si>
  <si>
    <t>hle_qna_0227</t>
  </si>
  <si>
    <t>CQA-0113</t>
  </si>
  <si>
    <t>Those two rib-eye steaks probably give you 75 or even 100 grams of protein and a bunch of other things too. Can you use all of that for muscle protein synthesis?</t>
  </si>
  <si>
    <t>The short answer is yes. The nuanced answer is, let me tell you about a couple studies.</t>
  </si>
  <si>
    <t>265-266</t>
  </si>
  <si>
    <t>hle_qna_0230</t>
  </si>
  <si>
    <t>CQA-0114</t>
  </si>
  <si>
    <t>So, a lot of people stack their protein heavily towards the end of the day. Assuming caloric load is appropriate, et cetera, is there anything fundamentally wrong or bad about doing that, from the perspective of body composition, and health?</t>
  </si>
  <si>
    <t>I would say no. And then there's levels to it. What population are we looking at? Are we looking at guys who are trying to win a national competition in bodybuilding, for example? Or professionally, or-</t>
  </si>
  <si>
    <t>266</t>
  </si>
  <si>
    <t>hle_qna_0233</t>
  </si>
  <si>
    <t>CQA-0115</t>
  </si>
  <si>
    <t>I think when we hear the word "fat," people think body fat but there's also dietary fat. So, could you please discriminate between those two?</t>
  </si>
  <si>
    <t>Yeah. Okay. So, picture this. Picture two people eating the exact same diet, identical diet. By the end of the day, same macronutrition, same food selection, everything is identical. Let's say we're running a study, okay? One of the groups trains in a genuinely post-absorptive fasted state, eight to 10 hours-ish, eating nothing. They will burn more fat during the training bout. Yes. They will burn more body fat. They will burn more intramuscular fat. Their net fat oxidation will be higher than the group that has a breakfast. And the group that has the breakfast will essentially be burning their breakfast during the training. So, yes, during the training, there is greater fat burning in the fasted group. But once again, we're looking at two groups who are consuming the exact same diet. So, the group who consumed their breakfast is going to consume less stuff, less food, one less meal in the later part of the day. So, their fat oxidation is going to be higher in the later part of the day. And so, it all comes out even by the end of the day. So that is the kind of the big issue and the big principle with fasted training. Yes, it does burn more fat during training, but you're looking at a snapshot of time within the course of the day. You're not looking at the course of the day. But you know what? This was a huge idea that persisted throughout the late '80s and early '90s. And even into the 2000s when Bill Phillips came out with 'Body For Life' and stuff, he was big on the fasted cardio and stuff. This kind of lore is really cool, if you know scientists who are able to rope you in and help you investigate this stuff. So, once again, I got to give Brad Schoenfeld a lot of credit. He wanted to test this hypothesis out, and so we took college-age subjects, women, and we compared fasted cardio with fed cardio. And the predominant lore at the time was the fat burning zone. So, we're talking low, moderate intensity cardio, which they carried out for little less than an hour. And we compared an immediate pre cardio meal, which was standardized. It was a meal replacement type of thing. With the same meal consumed post-cardio. And then we measured body composition over-People criticized the study for being four weeks, but look-</t>
  </si>
  <si>
    <t>271-272</t>
  </si>
  <si>
    <t>hle_qna_0235</t>
  </si>
  <si>
    <t>CQA-0116</t>
  </si>
  <si>
    <t>And if they weren't doing resistance training, I'm impressed that the cardiovascular training was sufficient to allow them to maintain lean body mass. What was the cardiovascular workout?</t>
  </si>
  <si>
    <t>It was low-moderate intensity, what might be called zone two type of cardio, where you can still hold a conversation but, it's not necessarily a waltz. And so, the whole idea was to be in the fat burning zone. We wanted to exploit the whole fat burning zone concept, to keep the intensity low-moderate, so we can give the fasted cardio condition a chance to show whatever magic it might have. And so, we didn't see that magic by the end of the trial. The practical takeaway from that is, number one, we didn't see a bunch of lean mass loss in the fasted cardio group, because there's this lore saying that, "Hey, you better not train fasted no matter what. You better not do cardio fasted because you're going to lose muscle." Well, they didn't lose any lean body mass. And when you form practical takeaways from the findings, we can say that if you prefer to train fasted, and you just feel better, doing your cardio in a fasted state, great. Do it fasted. If you can't stand doing fasted cardio and you'd rather have a breakfast beforehand, then go ahead and do that. Just know that that's not going to necessarily hinder your fat loss efforts, as long as you're net hypocaloric by the end of the day, or the end of the week. Those recommendations can change with the type of cardio you do, especially higher intensity stuff, or certainly competitive types of sports that involve endurance performance elements and stuff. But that's the takeaway from our study, that fasted versus fed cardio doesn't matter. Do it based on personal preference.</t>
  </si>
  <si>
    <t>272-273</t>
  </si>
  <si>
    <t>hle_qna_0237</t>
  </si>
  <si>
    <t>CQA-0117</t>
  </si>
  <si>
    <t>Why is it that protein is so critical to that process? Why is it that indeed calories in versus calories out reigns true, law of thermodynamics, but that protein is so crucial?</t>
  </si>
  <si>
    <t>It's mainly just a couple of things to keep in mind, and potentially a third little thing. So, the big thing about protein and body comp is, number one, protein directly supports lean body mass. It directly supports all the lean tissues in the body, skeletal muscle especially.</t>
  </si>
  <si>
    <t>274</t>
  </si>
  <si>
    <t>QA-0104</t>
  </si>
  <si>
    <t>CQA-0118</t>
  </si>
  <si>
    <t>But along those lines, why is it, in your opinion, that protein is so critical?</t>
  </si>
  <si>
    <t>That protein be treated as the cornerstone of good nutrition, especially if one is attempting to consume calories to maintain, or perhaps even lose a little bit of body fat, maybe simultaneously maintaining or gaining muscle. But let's set aside muscle gain for the moment, and let's just say maintain muscle, but many people want to lose a few percentages of body fat.</t>
  </si>
  <si>
    <t>hle_qna_0240</t>
  </si>
  <si>
    <t>CQA-0119</t>
  </si>
  <si>
    <t>How should protein sources be compared in terms of protein quality?</t>
  </si>
  <si>
    <t>I think of protein quality in terms of quality of protein, meaning the type and ratios of amino acids, the availability of those amino acids relative to the amount of calories one has to ingest to get them.</t>
  </si>
  <si>
    <t>And what about the hierarchy of protein quality?</t>
  </si>
  <si>
    <t>275</t>
  </si>
  <si>
    <t>hle_qna_0241</t>
  </si>
  <si>
    <t>CQA-0120</t>
  </si>
  <si>
    <t>Because frankly, I've grown tired and slightly irritated at the, "Oh, these plant-based foods have a ton of quality protein in them." And I go, "Really?</t>
  </si>
  <si>
    <t>You have to consume 2,000 calories of that plant or grain in order to get the equivalent amino acid profile from a four-ounce piece of steak, for instance." And this is not an argument that animal proteins are better ethically. I'm just saying at a quality, as a function of calories ingested, I feel like animal proteins are superior. But tell me what the data says.</t>
  </si>
  <si>
    <t>hle_qna_0242</t>
  </si>
  <si>
    <t>CQA-0121</t>
  </si>
  <si>
    <t>You spent two days on an argument on X?</t>
  </si>
  <si>
    <t>Stu is a fricking legend, man. He is a legend in the protein research area, but he will argue with two to three days on Twitter. And so, we always end up at the same spot where, look, we need more research to see whether- And this wasn't about plant versus animal proteins, this was about just total daily protein intake, period.</t>
  </si>
  <si>
    <t>279</t>
  </si>
  <si>
    <t>QA-0106</t>
  </si>
  <si>
    <t>CQA-0122</t>
  </si>
  <si>
    <t>Could we even say that the caloric, this 10% above maintenance, should come from quality protein?</t>
  </si>
  <si>
    <t>Exactly. Yes. Yes.</t>
  </si>
  <si>
    <t>282</t>
  </si>
  <si>
    <t>QA-0108</t>
  </si>
  <si>
    <t>CQA-0123</t>
  </si>
  <si>
    <t>When you say two grams of protein per pound of body weight, are we talking about increasing total caloric intake, or just using more of one's daily caloric needs, devoting more of that to quality protein?</t>
  </si>
  <si>
    <t>See, that's the super interesting and kind of mysterious part. They're literally saying, "Okay, maintain your usual dietary habits, and then just add 50 to 100 grams of protein on top."</t>
  </si>
  <si>
    <t>283</t>
  </si>
  <si>
    <t>hle_qna_0251</t>
  </si>
  <si>
    <t>CQA-0124</t>
  </si>
  <si>
    <t>And if you're not doing that, get it through some supplement, but ideally through fruits and vegetables, right?</t>
  </si>
  <si>
    <t>Fruits, vegetables, legumes, grains. Grains are a double-edged sword.</t>
  </si>
  <si>
    <t>285</t>
  </si>
  <si>
    <t>QA-0111</t>
  </si>
  <si>
    <t>CQA-0125</t>
  </si>
  <si>
    <t>Are starches inherently bad?</t>
  </si>
  <si>
    <t>That's a great question. I defer to the evidence, and of course, evidence is its own thing. You've got research here, and then you have observations and anecdotes here.</t>
  </si>
  <si>
    <t>286</t>
  </si>
  <si>
    <t>QA-0112</t>
  </si>
  <si>
    <t>CQA-0126</t>
  </si>
  <si>
    <t>But when I'm talking about sugar, I'm talking about if one looks at a package or a label and sees added sugars. How bad are added sugars?</t>
  </si>
  <si>
    <t>Okay. So, they dilute the nutritive value of the diet, and they contribute to hyper-palatability, if you're talking about extrinsic sugars added to the diet. Really, only two sources of intrinsic sugars are in fruit and in milk. Everything else, you're just pretty much adding it, with the exception of maybe agave. But that's kind of a rare, esoteric thing. But added sugars to the diet should be consumed judiciously. The working recommendation is to try to limit added sugars to the diet to 10% of total calories. So, if you're somebody who likes to put maple syrup on whatever you might do, or somebody who likes to put honey on whatever you might do, then you may want to limit that to a typical, let's say, 2,000 calorie diet, and you might want to limit it to a maximum of 40 to 50 grams a day. It does.</t>
  </si>
  <si>
    <t>293</t>
  </si>
  <si>
    <t>hle_qna_0256</t>
  </si>
  <si>
    <t>CQA-0127</t>
  </si>
  <si>
    <t>Is there any evidence that coffee or other caffeinated drinks have a thermic effect that allows you to burn more fat? I'm a yerba mate fan, so if I drink cold brew yerba mate or hot brew yerba mate before working out, let's forget fasting, I happen to do it fasted, and then train, am I going to mobilize more body fat by ingesting a stimulant like caffeine prior to working out?</t>
  </si>
  <si>
    <t>Yes. And yeah, it's a pretty consistent finding. The issue is whether the amount that occurs is something meaningful, that would be durable enough over time for us to be able to say, "Hey, we can use coffee and/or caffeine as an agent to enhance fat loss." I'm not sure if we're there yet, but the literature on balance shows a modest effect, a modest advantage on fat loss with caffeinated beverages like tea and coffee.</t>
  </si>
  <si>
    <t>301</t>
  </si>
  <si>
    <t>hle_qna_0264</t>
  </si>
  <si>
    <t>CQA-0128</t>
  </si>
  <si>
    <t>And I want to make sure that we talk about the processing, because people will say, "Ah, the seed oils aren't bad if they come from a quality source." But most of the seed oils are through this high pressure, high temperature refinement process, and that's the problem. So, what's the deal with seed oils?</t>
  </si>
  <si>
    <t>Okay. The big picture is that people over-vilify seed oils. One side over-vilifies seed oils, just like the other side over-vilifies, let's say, your standard land animal fats, like beef tallow, butter, lard. But when you compare those two, like seed oils versus the butter, beef tallow, lard, and you compare the evidence base of those two things, you can find more dirt as far as adverse health outcomes from the land animal fats compared to the seed oils. And that is the reality of the matter. It's really weird that seed oils are being vilified right now, because that's not the scientific consensus. People who have their nose in the literature are just kind of scratching their heads at the whole seed oil scare thing. And there are some people on the fringe who laser in on their philosophies and ideologies about seed oils. But then all you need to do is ask a short set of questions. Okay. And you specified the seed oils in the question, which is great. You're ahead of everybody else. So, what seed oil are we talking about? What kind of dosage are we talking about? And what health outcome are you concerned with? And then what trial do you find most compelling that supports your fear of the seed oil? And so, everybody, or around nine out of ten people, immediately will say, "Ah, okay, you want to know what seed oil? Canola oil." Okay, great. Let's look at the canola oil literature. And one of the hardest things to do is find dirt on canola oil amidst all of the positive effects. It's in almost every trial of canola oil. There is even a meta-analysis comparing directly the effect of canola oil versus olive oil on blood lipid profile. And maybe, unsurprisingly to some, but surprisingly to most, canola oil outperforms olive oil for improving blood lipids, in the sense of lowering LDL cholesterol.</t>
  </si>
  <si>
    <t>306-307</t>
  </si>
  <si>
    <t>hle_qna_0267</t>
  </si>
  <si>
    <t>CQA-0129</t>
  </si>
  <si>
    <t>Something that they really benefit from doing certain things, or not doing certain things that men can get away with, or don't have to pay attention to?</t>
  </si>
  <si>
    <t>There's very little in that direction. Almost nothing. Almost no meaningful differences that you can sort of universalize about, "Women need to eat this way.</t>
  </si>
  <si>
    <t>313</t>
  </si>
  <si>
    <t>QA-0123</t>
  </si>
  <si>
    <t>CQA-0130</t>
  </si>
  <si>
    <t>Do you take collagen? And what are your thoughts about people who want to take collagen, specifically to improve skin appearance and for no other reason?</t>
  </si>
  <si>
    <t>so I want to start off by saying that fitness professionals in the “evidence-based community," they have almost a pathologically minimalist approach to supplementation. So, it's almost like if you can avoid a supplement, and dismiss it, and poo-poo it... Hey, great, we won.</t>
  </si>
  <si>
    <t>315</t>
  </si>
  <si>
    <t>QA-0125</t>
  </si>
  <si>
    <t>CQA-0131</t>
  </si>
  <si>
    <t>What effect are you seeking with the vitamin C?</t>
  </si>
  <si>
    <t>Effects on immunity, plus kind of a potential synergy with the collagen.</t>
  </si>
  <si>
    <t>321</t>
  </si>
  <si>
    <t>QA-0133</t>
  </si>
  <si>
    <t>CQA-0132</t>
  </si>
  <si>
    <t>Can you explain for people what a cluster set is?</t>
  </si>
  <si>
    <t>A cluster set is where you're basically breaking up a set with rest periods that range anywhere from, gosh, five to around 20 seconds, within a single set, or within a set of sets.</t>
  </si>
  <si>
    <t>322</t>
  </si>
  <si>
    <t>QA-0136</t>
  </si>
  <si>
    <t>CQA-0133</t>
  </si>
  <si>
    <t>But in general, do you recommend what you just described more for your male or female training clients?</t>
  </si>
  <si>
    <t>Being perfectly honest, it's just what I enjoy doing, and it is probably not the most efficient way to make muscle gains. But I just find it fun.</t>
  </si>
  <si>
    <t>326</t>
  </si>
  <si>
    <t>QA-0138</t>
  </si>
  <si>
    <t>CQA-0134</t>
  </si>
  <si>
    <t>And that was...Do our beliefs about what we're eating change our body's physiological response to that food, holding constant the objective nutrients of that thing?</t>
  </si>
  <si>
    <t>So that question might sound outrageous at first, but it was... It's really not outrageous if you're coming from a place of having studied in-depth placebo effects. Now, placebo effects are this robust demonstration in which simply taking a sugar pill, taking nothing, under the impression that it's a real medication that might relieve your asthma, reduce your blood pressure, boost your immune system, can lead to those physiological effects even though there's no objective nutrients.</t>
  </si>
  <si>
    <t>328-353</t>
  </si>
  <si>
    <t>hle_qna_0290</t>
  </si>
  <si>
    <t>CQA-0135</t>
  </si>
  <si>
    <t>If you have the mindset that it's fixed, why work harder at math if you don't think you're good at it?</t>
  </si>
  <si>
    <t>What our work has aimed to do is to expand the range of mindsets that we are, uh, studying, focused on, and also understand and expand the range of effects that they have. Uh, so I mentioned, you know, mindsets about stress. We've also looked at mindsets about food and healthy eating.</t>
  </si>
  <si>
    <t>Mental Health Agent; Nutrition and Body Agent</t>
  </si>
  <si>
    <t>hle_qna_0301</t>
  </si>
  <si>
    <t>CQA-0136</t>
  </si>
  <si>
    <t>Or do you have the mindset that healthy foods are indulgent and delicious?</t>
  </si>
  <si>
    <t>Generally, people, at least in our culture, in, in the West, have this view that stress is debilitating, healthy foods are disgusting and depriving. And those mindsets, whether or not they're true or false, right or wrong, they have an impact. And they have an impact not just through the motivational mechanisms that Dweck and others have studied, but as our lab has started to reveal, they also shape physiological mechanisms by changing what our bodies prioritize and prepare to do. We've looked at mindsets about exercise.</t>
  </si>
  <si>
    <t>Nutrition and Body Agent; Mental Health Agent</t>
  </si>
  <si>
    <t>hle_qna_0303</t>
  </si>
  <si>
    <t>CQA-0137</t>
  </si>
  <si>
    <t>Or do you view som-uh, stress as, uh, natural and something that's going to enhance us?</t>
  </si>
  <si>
    <t>And so we set out to design a series of studies to test the extent to which these mindsets about stress mattered, and we found in a number of correlational studies that that, uh, more enhancing stress mindset was linked to, um, better health outcomes, uh, better wellbeing, and higher performance.</t>
  </si>
  <si>
    <t>hle_qna_0304</t>
  </si>
  <si>
    <t>CQA-0138</t>
  </si>
  <si>
    <t>So do you believe that your baseline levels of intelligence are fixed, static, set throughout the rest of your life, or do you believe that they can grow and change?</t>
  </si>
  <si>
    <t>And the reality is, as it always is, complex, and it's a bit of both, and it's all these things. But as humans, we need these simplifying systems to help us understand a complex reality.</t>
  </si>
  <si>
    <t>hle_qna_0306</t>
  </si>
  <si>
    <t>CQA-0139</t>
  </si>
  <si>
    <t>So do you view a stressor like a challenging exam or a health diagnosis as a challenge or a threat?</t>
  </si>
  <si>
    <t>And that had shown pretty convincingly that when you view stressors more as a challenge, less as a threat, that your brain and b-body responds, uh, m-more, more adaptively.</t>
  </si>
  <si>
    <t>hle_qna_0307</t>
  </si>
  <si>
    <t>CQA-0140</t>
  </si>
  <si>
    <t>So then the question becomes, okay, if that's true, how can I better utilize or leverage or respond to the inevitable stresses that we're going to experience?</t>
  </si>
  <si>
    <t>We've developed a three-step approach to adopting a stresses-enhancing mindset. And briefly, it's the first step is to just acknowledge that you're stressed. The second step is to welcome it because inherently in that stress is something you care about. And then the third step is to utilize the stress response to achieve the thing you care about. Not spend your time, money, effort, energy trying to get rid of the stress.</t>
  </si>
  <si>
    <t>hle_qna_0310</t>
  </si>
  <si>
    <t>CQA-0141</t>
  </si>
  <si>
    <t>So, what type of fat is it and what should we eat in order to support that fat and those neurons?</t>
  </si>
  <si>
    <t>And the answer is the so-called essential fatty acids and phospholipids. Now, those are more or less the same thing, but I just want to make a very large literature very crystal clear. Essential fatty acids can include the so-called EPA variety or DHA variety. You hear about Omega-3s and Omega-6s. Most people are getting enough Omega-6s from their diet. However, most people are not getting enough Omega-3s in their diet to support healthy brain function in the short and long term.</t>
  </si>
  <si>
    <t>hle_qna_0311</t>
  </si>
  <si>
    <t>CQA-0142</t>
  </si>
  <si>
    <t>What are foods that are high in Omega-3s that we should all probably be consuming at least on a daily basis?</t>
  </si>
  <si>
    <t>The number one is fish. Now, I don't know about you, but I'm not eating a lot of fish. I will from time to time, but that's one reason why one might want to supplement with EPAs from another source. But also, EPAs are found in chia seeds, in walnuts, in soybeans, and other plant-based foods. You can look these up online and you'll immediately see that there are a lot of sources of EPAs. And many of the foods that I listed off might be appetizing to you, some of them might be unappetizing to you, or some of them you might be sort of neutral about. But it's very clear that eating foods that are rich in Omega-3s and or supplementing with Omega-3s to get above that 1.5 grams, and ideally up to two or even three grams per day of EPA can be very beneficial for cognitive function in the short and long term. The other compound that has been shown to be directly supportive of neuronal function is phosphatidylserine, which is abundant in meats and in fish. So, for those of you that do consume meat and fish, provided you're getting enough fish you're probably getting enough phosphatidylserine. For those of you that are interested in supplementing with phosphatidylserine, it's a relatively inexpensive supplement that, again, is lipid-like. So, it's mimicking some of the same things that you would get from food, but in higher concentration. Now, after EPA, fatty acids and phosphatidylserine, I would say third on the list of things that come from food that can readily support brain function would be choline. And that's because of the relationship to choline in the biosynthesis pathway for acetylcholine. Acetylcholine is a neuromodulator, not a neurotransmitter, but a neuromodulator in the brain. So, it's kind of a electrical highlighter pen, if you will, by analogy. That is the basis of much of what we call focus or, or our ability to concentrate on a particular batch of information that's coming in through our eyes, our ears, our nose, or even things that we're just thinking in our head. And not surprisingly then, many of the treatments for Alzheimer's disease, which is inabil-inability or challenges with remembering things and focusing, are drugs that impact the acetylcholine pathway and are aimed at enhancing the amount of acetylcholine that's available to neurons. And the primary source for dietary choline would be eggs, and in particular egg yolks. Eggs are an incredibly rich source of nutrients for the brain, and that's because the egg actually, if you think about</t>
  </si>
  <si>
    <t>hle_qna_0312</t>
  </si>
  <si>
    <t>CQA-0143</t>
  </si>
  <si>
    <t>What are the things that directly impact brain health and what are the foods that we can eat that will support brain health?</t>
  </si>
  <si>
    <t>Generally, when we think about neuron function and brain function, we default to a discussion about fuel, the fact that neurons use glucose, which is blood sugar, in order... and that they require a lot of it. But before we can even consider the fuels that neurons use in order to function, we have to talk about the elements that actually allow those neurons to be there and to stay healthy, what actually makes up those neurons. And that brings us to what I would argue is the most important food element for brain function, and that is fat. And that might come as a surprise, but unless one considers the water content of the brain, which is very high, a lot of our brain and a lot of the integrity of the nerve cells, the so-called neurons in our brain, and the other types of cells comes from fat. And that's because nerve cells and other cells in the brain have a, uh, external layer. It's, uh, what's sometimes called a double-layered membrane. It's essentially two thin layers that serve as a boundary between those cells, and that boundary is very important because how things pass across that boundary actually regulates the electrical activity of neurons, which is the way that neurons fire and communicate and keep you thinking and acting and doing all the good things that those neurons allow us to do. And those membranes are made up of fats, but they're not made up of the fats that are around our belly, around the other organs of our body. They're not made up of storage fat. They are made up of structural fat. And maintaining the so-called integrity of that structural fat, meaning the health of those neurons, is going to come in large part from the foods that we eat.</t>
  </si>
  <si>
    <t>hle_qna_0313</t>
  </si>
  <si>
    <t>CQA-0144</t>
  </si>
  <si>
    <t>What is the threshold level of creatine to supplement in order to get the cognitive benefit?</t>
  </si>
  <si>
    <t>Appears to be at least five grams per day. Now, the most typical form of creatine is so-called creatine monohydrate. Think it's interesting that creatine supplementation of five grams per day, that's creatine monohydrate, has been shown to improve cognition in people that aren't getting creatine from animal sources. So I personally take creatine, five grams per day, and have for a very long time. I can't say that I've, uh, noticed a tremendous benefit because I've actually never really come off it. Uh, and so I've never done the control experiment. I take it more as kind of a baseline insurance policy for me. But, uh, what I can say is that I generally consume these things like EPAs, creatine, alpha-GPC to set a general context of support for my neurons, uh, for my brain, and of course, I do also pay attention to the foods that contain these various compounds. So I don't actively eat additional meat just to obtain creatine. Um, I eat a fairly limited amount of meat. I don't restrict it, but I, and I do eat meat. But, um, I don't actively seek out creatine in my diet. Rather, I use supplementation in order to hit that five grams per day threshold. Next on the list of foods that are beneficial for brain health is one that you've probably seen pictures of online because there seems to be a practice of putting pictures of blueberries and other dark berries next to any title that says, "Foods that benefit your brain." Uh, there are a lot of foods out there that have been purported to improve brain function. The interesting thing about blueberries and other berries, blackberries, dark currants, any of these thin-skinned berries that are purplish in color, is that they contain what are called anthocyanins. Anthocyanins actually have some really nice data to support the fact that they improve brain function. Now, whether or not it is direct effects on neurons or whether or not it is by lowering inflammation, um, or some other modulatory effect isn't quite clear, but I think by now there's enough data to support the fact that eating a cup or two of blueberries pretty often, every day, or maybe you have blackberries or maybe it's black currants, that these anthocyanins are, are good for us, that they are enhancing our overall well-being at a number of different levels. So we've got EPA fatty acids, we've got phosphatidylserine, we've got choline, we've got creatine, and we have the anthocyanins. And the last item that I'd like to place in this list of food-derived t</t>
  </si>
  <si>
    <t>hle_qna_0314</t>
  </si>
  <si>
    <t>CQA-0145</t>
  </si>
  <si>
    <t>Could you define for us what is a mindset and what sort of purpose does it serve?</t>
  </si>
  <si>
    <t>We define mindsets as core beliefs or assumptions that we have about a domain or category of things that orient us to a particular set of expectations, explanations, and goals. I can, uh, distill it down for you. So mindsets are an assumption that you make about a domain.</t>
  </si>
  <si>
    <t>Mindsets and Their Effects on Health and Performance</t>
  </si>
  <si>
    <t>EP-006</t>
  </si>
  <si>
    <t>Alia Crum</t>
  </si>
  <si>
    <t>339</t>
  </si>
  <si>
    <t>QA-0139</t>
  </si>
  <si>
    <t>CQA-0146</t>
  </si>
  <si>
    <t>But what are some examples of mindsets, um, and how early do these get laid down, or do we learn them from our parents?</t>
  </si>
  <si>
    <t>sure. So I think it's important with, with Carol Dweck's work, a lot of people kind of get focused on growth motivation and all these things, but her work really originated from thinking about what she called as implicit theories or core beliefs about the nature of intelligence or ability, right?</t>
  </si>
  <si>
    <t>QA-0140</t>
  </si>
  <si>
    <t>CQA-0147</t>
  </si>
  <si>
    <t>I'd love to talk about this notion of how are, uh, the mindset shaping how our bodies respond. And, uh, maybe as an example of this, if you could share with us this, uh, now famous study that, uh, you're, uh, you've done with the milkshake study.</t>
  </si>
  <si>
    <t>Certainly, yeah. This was a study that I ran as a graduate student at Yale University. I was working with Kelly Brownell and Peter Salovey.</t>
  </si>
  <si>
    <t>340</t>
  </si>
  <si>
    <t>QA-0141</t>
  </si>
  <si>
    <t>CQA-0148</t>
  </si>
  <si>
    <t>Love, uh, for you to tell us about, um, the hotel workers study as well.</t>
  </si>
  <si>
    <t>No, I think th- this is a really good example of this phenomenon, right? That the total effect of anything is a combined product of what you're doing and what you think about what you're doing. And we found a group of people who were getting a lot of exercise, but weren't aware of it.</t>
  </si>
  <si>
    <t>344</t>
  </si>
  <si>
    <t>QA-0144</t>
  </si>
  <si>
    <t>CQA-0149</t>
  </si>
  <si>
    <t>Could you tell us, at some point, about the study that you've done about informing people about the different effects of stress? Um, but also, uh, if there's an opportunity, some takeaways about how we could each conceptualize stress in ways that would make it, um, serve us better?</t>
  </si>
  <si>
    <t>Great. Yeah. So I had, you know, I'd come off the heels of doing some research in exercise, uh, and diet.</t>
  </si>
  <si>
    <t>345</t>
  </si>
  <si>
    <t>QA-0145</t>
  </si>
  <si>
    <t>CQA-0150</t>
  </si>
  <si>
    <t>How should, uh, we, the listeners, think about stress? Is there a, a short list of th- of ways that we can leverage stress to our advantage?</t>
  </si>
  <si>
    <t>And that's an important, important nuance in your language, which is, uh, people have by and large come from a place of, how do you manage stress? How do you cope with it? Which implies, how do you fight against it?</t>
  </si>
  <si>
    <t>350</t>
  </si>
  <si>
    <t>QA-0146</t>
  </si>
  <si>
    <t>CQA-0151</t>
  </si>
  <si>
    <t>What are the mindsets that you try and adopt, uh, on a regular basis?</t>
  </si>
  <si>
    <t>The guiding light for me has been</t>
  </si>
  <si>
    <t>351</t>
  </si>
  <si>
    <t>QA-0147</t>
  </si>
  <si>
    <t>CQA-0152</t>
  </si>
  <si>
    <t>So for people that might not be so familiar with the fields of neuroscience, et cetera, what is the difference between neurology and psychiatry?</t>
  </si>
  <si>
    <t>Psychiatry focuses on disorders where we can't see something that's physically wrong, where we don't have a measurable, where there's no blood test that makes the diagnosis, there's no brain scan that tells us this is schizophrenia, this is depression for an individual patient. And so psychiatry is much more mysterious, and the only tools we have are words.</t>
  </si>
  <si>
    <t>Psychiatry, Mental Illness and the Future of Brain Science</t>
  </si>
  <si>
    <t>EP-007</t>
  </si>
  <si>
    <t>Karl Deisseroth</t>
  </si>
  <si>
    <t>353</t>
  </si>
  <si>
    <t>QA-0149</t>
  </si>
  <si>
    <t>CQA-0153</t>
  </si>
  <si>
    <t>So do you find that if a patient is very verbal or hyperverbal that you have an easier time diagnosing them as opposed to somebody who's more quiet and reserved?</t>
  </si>
  <si>
    <t>because we only have words, you put your finger on a key point. If they don't speak that much in principle, it's harder. The lack of speech can be a symptom.</t>
  </si>
  <si>
    <t>QA-0150</t>
  </si>
  <si>
    <t>CQA-0154</t>
  </si>
  <si>
    <t>Do you think we will ever have a blood test for depression or schizophrenia or autism? And would that be a good or a bad thing?</t>
  </si>
  <si>
    <t>I think ultimately there will be quantitative tests already. Efforts are being made to look at certain rhythms in the brain, using external EEGs to look at brain waves effectively. But ultimately, what's going on in the brain in psychiatric disease is physical.</t>
  </si>
  <si>
    <t>354</t>
  </si>
  <si>
    <t>QA-0151</t>
  </si>
  <si>
    <t>CQA-0155</t>
  </si>
  <si>
    <t>I want to know, and I'm sure there are several, but what do you see as the biggest challenge facing psychiatry and the treatment of mental illness today?</t>
  </si>
  <si>
    <t>I think we have-- we're making progress on what the biggest challenge, which I think there's still such a strong stigma for psychiatric disease that patients often don't come to us. And they feel that they should be able to handle this on their own, and that can slow treatment.</t>
  </si>
  <si>
    <t>QA-0152</t>
  </si>
  <si>
    <t>CQA-0156</t>
  </si>
  <si>
    <t>So how, as a psychiatrist, when your job is to use words to diagnose words of the patient, to diagnose, do you maneuver around that? And what is this landscape that we call feelings or emotions?</t>
  </si>
  <si>
    <t>This is a really interesting. Here, we have there's a tension between the words that we've built up in the clinic that mean something to the physicians, and then there's the colloquial use of words that may not be the same. And so that's the first level we have to out when someone says, I'm depressed.</t>
  </si>
  <si>
    <t>QA-0153</t>
  </si>
  <si>
    <t>CQA-0157</t>
  </si>
  <si>
    <t>Meaning are there currently any pills, potions, forms of communication that reliably work every time or work in most patients? And could you give a couple of examples of great successes of psychiatry if they exist?</t>
  </si>
  <si>
    <t>in psychiatry, despite the depths of the mystery we struggle with, many of our treatments are actually-- we may be doing better than some other specialties in terms of actually causing therapeutic benefit for patients. We do help patients, the patients who suffer from, by the way, both medications and talk therapy have been shown to be extremely effective in many cases have, for example, people with panic disorder.</t>
  </si>
  <si>
    <t>355</t>
  </si>
  <si>
    <t>QA-0154</t>
  </si>
  <si>
    <t>CQA-0158</t>
  </si>
  <si>
    <t>What are the pieces that are going to be required to cure autism, cure Parkinson's cure schizophrenia? What is the bento box of the perfect cure?</t>
  </si>
  <si>
    <t>I think the first thing we need is understanding what is the element in the brain that's analogous to the pumping heart. When we think about the symptoms of depression, that's maybe we think about motivation and dopamine neurons.</t>
  </si>
  <si>
    <t>356</t>
  </si>
  <si>
    <t>QA-0155</t>
  </si>
  <si>
    <t>CQA-0159</t>
  </si>
  <si>
    <t>What is the potential for channelrhodopsins or related types of algae engineering to be used to manipulate the vagus? Where are we at now in terms of bringing this technology to the nervous system?</t>
  </si>
  <si>
    <t>so starting with the body is a good example because it highlights the opportunity and how far we have to go. So let's take this example of vagus nerve stimulation. So the vagus nerve, it's the 10th cranial nerve.</t>
  </si>
  <si>
    <t>357</t>
  </si>
  <si>
    <t>QA-0156</t>
  </si>
  <si>
    <t>CQA-0160</t>
  </si>
  <si>
    <t>So stimulating the vagus to treat depression simply because it's accessible?</t>
  </si>
  <si>
    <t>It started as actually as an epilepsy treatment. And it can help with epilepsy. But the vagus nerve lands on a particular spot on the brain called the solitary tract nucleus, which is just one synapse away from the serotonin and dopamine and norepinephrine.</t>
  </si>
  <si>
    <t>358</t>
  </si>
  <si>
    <t>QA-0160</t>
  </si>
  <si>
    <t>CQA-0161</t>
  </si>
  <si>
    <t>So there's a link to chemical systems in the brain that make it a rational choice?</t>
  </si>
  <si>
    <t>it's not. It's not irrational. But I can tell you that even if that were not true, the same thing would have been tried.</t>
  </si>
  <si>
    <t>QA-0161</t>
  </si>
  <si>
    <t>CQA-0162</t>
  </si>
  <si>
    <t>How do you think it's working when it does work? Is it triggering the activation of neurons that release more serotonin or dopamine?</t>
  </si>
  <si>
    <t>It could be, but I would say we don't have evidence for that. And so I just don't know. But what is clear is that it's dose-limited in how high and strongly we can stimulate, and why?</t>
  </si>
  <si>
    <t>QA-0162</t>
  </si>
  <si>
    <t>CQA-0163</t>
  </si>
  <si>
    <t>But what is clear is that it's dose-limited in how high and strongly we can stimulate, and why?</t>
  </si>
  <si>
    <t>It's because it's an electrode and it's stimulating everything nearby. And when you turn on the vagus nerve stimulator, the voice patient's voice becomes strangulated and hoarse. They can have trouble swallowing. They can have trouble speaking, for sure, even some trouble breathing because everything in the neck, every electrically responsive cell and projection in the neck is being affected by this electrode. And so you can go up just so far with the intensity, and then you have to stop.</t>
  </si>
  <si>
    <t>359</t>
  </si>
  <si>
    <t>hle_qna_0331</t>
  </si>
  <si>
    <t>CQA-0164</t>
  </si>
  <si>
    <t>So to your initial question, could a more precise stimulation method like optogenetics help in this setting?</t>
  </si>
  <si>
    <t>In principle, it could, because that if you would target the light sensitivity to just the right kind of cell, let's say cell x that goes from point A to point B that you know causes symptom relief of a particular kind, then you're in business. You can have that be the only cell that's light sensitive. You're not going to affect any of the other cells, the larynx and the pharynx and the projections passing through. So that's the hope. That's the opportunity. The problem, is that we don't yet have that level of specific knowledge. We don't know, OK, it's the cell starting in point A going to point B that relieves this particular cell.</t>
  </si>
  <si>
    <t>hle_qna_0332</t>
  </si>
  <si>
    <t>CQA-0165</t>
  </si>
  <si>
    <t>And what, if any, role for channel opsins or these downstream technologies that you're developing? What do they-- what do they offer for people that suffer from ADHD or have a family member that suffers from ADHD?</t>
  </si>
  <si>
    <t>this is a pretty interesting branch of psychiatry. There's no question that people have been helped by the treatments. There's active debate over what fraction of people who have these symptoms can or should be treated.</t>
  </si>
  <si>
    <t>360</t>
  </si>
  <si>
    <t>QA-0167</t>
  </si>
  <si>
    <t>CQA-0166</t>
  </si>
  <si>
    <t>What are brain-machine interfaces, and how are they used?</t>
  </si>
  <si>
    <t>Is something that's been happening for a long time now, devices, little probes that are going to stimulate different patterns of activity and ensembles of neurons.</t>
  </si>
  <si>
    <t>What are your thoughts about brain machine interface?</t>
  </si>
  <si>
    <t>hle_qna_0336</t>
  </si>
  <si>
    <t>CQA-0167</t>
  </si>
  <si>
    <t>Do you think it's possible that our behaviors and our interaction with the sensory world, which is really what phones and email really are, could induce ADD or reactivate it?</t>
  </si>
  <si>
    <t>This is a great question. I think about it a lot. And you mentioned this tic-like behavior in yourself.</t>
  </si>
  <si>
    <t>362</t>
  </si>
  <si>
    <t>QA-0172</t>
  </si>
  <si>
    <t>CQA-0168</t>
  </si>
  <si>
    <t>Do you think that some of the lifestyle factors that inhabit us all these days could induce a subclinical or a clinical like ADHD?</t>
  </si>
  <si>
    <t>Meaning, if I look at people's phone use, including my own, and I don't think of it like addiction, it looks to me and feels to me more like OCD. And I'll come clean here by saying, when I was younger, when I was a kid, I had a grunting tick. I used to hide it. I actually used to hide in the closet because my dad would make me stop, and I used to--I couldn't feel any relief of my mind until I would do this. And actually, now, if I get very tired, if I've been pushing long hours, it'll come back.</t>
  </si>
  <si>
    <t>hle_qna_0340</t>
  </si>
  <si>
    <t>CQA-0169</t>
  </si>
  <si>
    <t>But when you look at the clinical and experimental literature, what is your top contour sense of how effective these tools are going to be for treating depression?</t>
  </si>
  <si>
    <t>you're right to highlight both the opportunity and the peril that is there. And of course, we want to help patients, and of course, we want to explore anything that might be helpful in what we want to do it in a safe and rigorous way.</t>
  </si>
  <si>
    <t>363</t>
  </si>
  <si>
    <t>QA-0173</t>
  </si>
  <si>
    <t>CQA-0170</t>
  </si>
  <si>
    <t>Why would having that dream-like experience somehow relieve depression long term. Do we have any idea why that might be?</t>
  </si>
  <si>
    <t>Yeah, we have some ideas--no, no, deep understanding. One way I think about the psychedelics is they increase our willingness to--or they increase the willingness of our brain to accept unlikely ways of constructing the world, unlikely hypotheses, as it were, as to what's going on. The brain and in particular, our cortex, I think, is a hypothesis generation and testing machine. It's coming up with models about everything. It's got a lot of bits of data coming in, and it's making models and updating the models and changing them, theories, hypotheses for what's going on. And some of those never reach our conscious mind, and this is something I talk about in projections in the book quite a bit, is many of these are filtered out before they get to our conscious mind, and that's good, we think how distracted we'd be if we were constantly having to evaluate all these hypotheses about what kinds of shapes or objects or processes were out there. And so a lot of this is handled before it gets to consciousness, what the psychedelics seem to do is they change the threshold for us to become aware of these incomplete hypotheses or wrong hypotheses or concepts that might be noise but are just wrong. And so are never allowed to get into our conscious mind. Now, that that's pretty interesting, and it goes wrong in psychiatric disorders. I think in schizophrenia, some of the times, the paranoid delusions that people have are examples of these poor models that escape into the conscious mind and become accepted as reality, and they never should have gotten out there. Now, how could something like this in the right way help with something like depression? Patients with depression often are stuck. They can't look into the future world of possibilities as effectively. Everything seems hopeless, and what does that really mean? They discount the value of their own action. They discount the value of the world at giving rise to a future that matters. Everything seems to run out like a river, just running out into the desert and drying up. And what these agents may do that increase the flow through circuitry, if you will, the percolation of activity through circuitry may end up doing for depression is increasing the escape of some tendrils of process of forward progression through the world. That's a concept. It's how I think about it. There are ways we can make that rigorous. We can indeed identify in the brain by recording. We can see cells that represent steps along a path and look into the future, and we can rigorously define these cells, and we can see if these are altered on psychedelics. And so that's one of the reasons that we're working with these agents in the laboratory, to say, is this really the case, or are these opening up new paths or representations of paths into the future?</t>
  </si>
  <si>
    <t>364-365</t>
  </si>
  <si>
    <t>hle_qna_0342</t>
  </si>
  <si>
    <t>CQA-0171</t>
  </si>
  <si>
    <t>How does psilocybin work?</t>
  </si>
  <si>
    <t>Well, psilocybin engages or increases serotonin transmission, meaning it increases the amount of serotonin, mainly by acting at these 5-HT2A receptors.</t>
  </si>
  <si>
    <t>367-378</t>
  </si>
  <si>
    <t>hle_qna_0348</t>
  </si>
  <si>
    <t>CQA-0172</t>
  </si>
  <si>
    <t>So, next, I'd like to talk about some of the tools that people who both have depression or who are prone to depression, as well as people who don't have depression and simply want to maintain a good mood, who want to maintain a positive affect and pursuit of things in life, what are the things that you can do?</t>
  </si>
  <si>
    <t>Any behavioral tool that adjusts the levels of a particular chemical ought to perhaps provide some relief for some of the symptoms of major depression. Let's take an example that I've talked about before on the podcast, which is that if you get into a very cold shower or you take an ice bath, you will release norepinephrine and epinephrine in your brain and body. There's no question about that.</t>
  </si>
  <si>
    <t>hle_qna_0352</t>
  </si>
  <si>
    <t>CQA-0173</t>
  </si>
  <si>
    <t>What is anti-self confabulation?</t>
  </si>
  <si>
    <t>Well, first of all, confabulation is an incredible aspect of our mind and our nervous system. You sometimes see other forms of confabulation in people who have memory deficits, either because they have brain damage, or they have age-related dementia. A good example of this would be, someone with age-related dementia sometimes will find themselves in a location in the house and not know how they got there.</t>
  </si>
  <si>
    <t>hle_qna_0354</t>
  </si>
  <si>
    <t>CQA-0174</t>
  </si>
  <si>
    <t>What's the architecture of sleep?</t>
  </si>
  <si>
    <t>Early in the night, you tend to have slow wave sleep more than REM sleep, or rapid eye movement sleep. As the night goes on, you tend to have more rapid eye movement sleep. That architecture of slow wave sleep preceding rapid eye movement sleep is radically disrupted in major depression. In addition, the pattern of activity in the brain during particular phases of sleep is disrupted. And then there are some other things that relate to the autonomic nervous system, but that we normally think of as more voluntary in nature. And these are things like decreased appetite. So, you could imagine that one could have decreased appetite because of the anhedonia, the lack of pleasure from food. So, you can see that the symptomatology of major depression impacts us at multiple levels. There's the conscious level of how excited we are generally. Well, that's reduced. There's grief, there's guilt, there's crying. But then there are also these vegetative things. There's disruptions in sleep, which of course make everything more challenging when we're awake. We know that. Sleep is so vital for resetting. You're waking up early, you can't get back to sleep. That's going to adjust your affect, your emotions in negative ways. We know this. And appetite is off. And there are hormones that get disrupted. So, cortisol levels are increased. In particular, there's a signature pattern of depression whereby cortisol, this stress hormone that normally is released in a healthy way only in the early part of the day, is shifted to late in the day. In fact, a 9:00 PM peak in cortisol is one of the physiological signatures of depressive-like states. It's not the only one, but it is an important one. So, let's just take a few minutes, and talk about some of the underlying biology that creates this cloud, or this constellation of symptomology. One of the most important early findings in the search for a biological basis of depression, was this finding that there are drugs that relieve some of the symptoms of depression. Those drugs generally fall into three major categories. But the first set of ones that were discovered were the so-called tricyclic antidepressants, and the MAO inhibitors, the monoamine oxidase inhibitors. And these tricyclic antidepressants and the MAO inhibitors largely worked by increasing levels of norepinephrine in the brain, as well as in the body in some cases. They were discovered because of the exploration for drugs that alter blood pressure. Norepinephrine impact</t>
  </si>
  <si>
    <t>hle_qna_0355</t>
  </si>
  <si>
    <t>CQA-0175</t>
  </si>
  <si>
    <t>Why might people with major depression need medication or supplementation in addition to behavioral tools?</t>
  </si>
  <si>
    <t>They have no motivation to do it. They have no desire to go for a run. But it's very important to highlight the fact that these circuits that are accessible to some of us, the circuits for happiness, for pursuit of pleasure, for exercise, for getting in a cold shower, if that's your thing, that those circuits are present in all people, but for certain people that are experiencing major depression and are really in the depths of their depression, they can't really access those circuits in the same way that people who are not suffering from depression can. But let's look at depression from the standpoint of a deeper biological phenomenon, which is inflammation and the immune system. There's growing evidence now that many forms of major depression, if not all of them, relate to excessive inflammation. Now, inflammation plays an important role in wound healing, it is a positive aspect of our immune system. Our ability to combat wounds, combat illnesses, et cetera. But inflammation gone unchecked, inflammation that lasts too long, or is of too high amplitude, meaning too many cytokines and things of that sort in the body, is bad. And there's decent evidence now that inflammation can lead to or exacerbate depression, and that if we want to control depression, or limit or eliminate depression, that focusing on reducing inflammation and its associated pathways is a really good thing to do.</t>
  </si>
  <si>
    <t>Why would there be prescription drugs, or the need for supplementation, or other things to alleviate the symptoms of depression?" Ah, well, that's the diabolical nature of depression, which is, if people are far enough along in this thing, this sometimes called disease, sometimes called disorder, but major depression, oftentimes they can't get the energy to even get up and take a bath or a shower.</t>
  </si>
  <si>
    <t>Intervention Agent; Lifestyle Agent</t>
  </si>
  <si>
    <t>hle_qna_0356</t>
  </si>
  <si>
    <t>CQA-0176</t>
  </si>
  <si>
    <t>Can exercise help alleviate symptoms of depression?</t>
  </si>
  <si>
    <t>Well, if you go out for a run, you're going to increase the amount of norepinephrine in your body. If you enjoy that run, it's likely that you'll increase the levels of dopamine, and probably serotonin in your brain and body as well.</t>
  </si>
  <si>
    <t>Will exercise help?</t>
  </si>
  <si>
    <t>hle_qna_0357</t>
  </si>
  <si>
    <t>CQA-0177</t>
  </si>
  <si>
    <t>Now, if inhales speed the heart up, what happens on exhales?</t>
  </si>
  <si>
    <t>When we exhale, the diaphragm moves up, the heart has less space, meaning it gets a little bit smaller, which means that whatever volume of blood is inside the heart moves faster through that smaller volume. That information is sent to the brain via these collection of neurons called the sinoatrial node. The brain then sends information via the vagus nerve back to the heart to slow the heart down. So, while inhales speed up the heart, exhales slow the heart down, and you can leverage this in a very powerful way to set the conditions of your mind. If you want to be more calm, emphasize exhales. And the simplest way to do this is to emphasize exhales through what's called a physiological sigh. Two inhales [inhales deeply] followed by a long exhale. [exhales deeply] Those double inhales are kind of important because what they do is they maximally fill all those little sacks in your lungs, and then when you breathe out, you're exhaling as much of the carbon dioxide in your system as possible. When you make excels longer, you're slowing your heart rate, you're calming down. The opposite is also true. If you inhale deeply or vigorously and then exhale less long or less vigorously, you will increase your level of alertness through these purely mechanical aspects of your interoception. It only takes two or three of those before you start to feel more alert. And that's because your heart rate is increasing, and actually, if you keep doing that for 25 or 30 breaths of inhale deep, short exhale, you will start to secrete a lot of adrenaline. You will actually feel as if you've had a couple espresso. You will immediately wake up. Through purely mechanical means, changing the way that you breathe, emphasizing inhales or exhales or keeping them the same will change the way that your brain works, how alert you are, and how well you function in anything. And again, this doesn't mean that breath work has no value, it's just simply to say that long extended protocols of breath work are simply, they are truly simply just an exploration of this fundamental relationship between the mechanics of your internal organs and your brain, and how your brain controls those internal organs. So now I want to shift away from breathing and diaphragm and lungs and move toward another organ within our viscera, which is our gut. So this includes our stomach and our intestines, our esophagus and so forth. It's been said before, both by me and by others, that we are but a series of tubes. And i</t>
  </si>
  <si>
    <t>Depression, Sleep, Breathing and Circadian Biology (solo educational segment)</t>
  </si>
  <si>
    <t>EP-S02</t>
  </si>
  <si>
    <t>378-388</t>
  </si>
  <si>
    <t>hle_qna_0360</t>
  </si>
  <si>
    <t>CQA-0178</t>
  </si>
  <si>
    <t>A number of people asked, what can I do to increase plasticity?</t>
  </si>
  <si>
    <t>And that really comes in two forms. There's plasticity that we can access in sleep to improve rates of learning and depth of learning from the previous day or so. And there's this NSDR, Non-Sleep Deep Rest, that can be done without sleeping to improve rates of learning and depth of retention, et cetera. So let's consider those both. And you can incorporate these protocols if you like. Again, these are based on quality peer-reviewed studies. First, let's talk about learning in sleep. This is based on some work that I'll provide the reference for. That was published in the journal Science. Excellent journal. Matt Walker also talks about some of these studies done by others in his book Why We Sleep. The studies, just to remind you, are structured the following way. An individual is brought into a laboratory, does a spatial memory task. So there tends to be a screen with a bunch of different objects popping up on the screen in different locations. So it might be a bulldog's face. It might be a cat. Then it might be an apple. Then it might be a pen in different locations. And that sounds trivially easy. But with time, you can imagine, it gets pretty tough to come back a day later and remember if something presented in a given location was something you've seen before and whether or not it was presented in that location or a different location. If you had enough objects and changed the locations enough, this can actually be quite difficult. In this study, the subjects either just went through the experiment or a particular odor was released into the room while they were learning or a tone was played in the room while they were learning. And then during the sleep of those subjects the following night and the following night--this was done repeatedly for several nights--the same odor or tone was played while the subjects were sleeping. They did this in different stages of sleep, non-REM sleep and Rapid Eye Movement sleep, REM sleep. They did this with just the tone in sleep. If the subjects had had the odor but not the tone, they did it with putting the tone. If they had had the odor while learning--so basically, all the controls, all the things you'd want to see done to make sure that it wasn't some indirect effect, some modulatory effect. And what they found was that providing the same stimulus, the odor if they smelled an odor or a tone if the subjects heard a tone while learning, if they just delivered that odor or tone while the subjects slept, rates of learn</t>
  </si>
  <si>
    <t>388-399</t>
  </si>
  <si>
    <t>hle_qna_0364</t>
  </si>
  <si>
    <t>CQA-0179</t>
  </si>
  <si>
    <t>Several people asked me, what's the difference between epinephrine and adrenaline?</t>
  </si>
  <si>
    <t>Adrenaline is secreted from the adrenal glands, which sit right above our kidneys. Epinephrine is the exact same molecule, except that it's released within the brain. Epinephrine and adrenaline are basically the same thing. And they tend to stimulate agitation and the desire to move. I got a lot of questions about exercise.</t>
  </si>
  <si>
    <t>hle_qna_0366</t>
  </si>
  <si>
    <t>CQA-0180</t>
  </si>
  <si>
    <t>Why is it OK to wear prescription lenses and contacts when those are glass also but looking through a window diminishes the effect?</t>
  </si>
  <si>
    <t>Well, we should think about this. The lenses that you wear in front of your eyes by prescription or on your eyes are designed to focus the light onto your neural retina. So let's think about why I'm making some of these recommendations because I think it can really empower you with the ability to change your behavior in terms of light viewing and other things, depending on time of year, depending on other lifestyle factors. The important point to understand is that early in the day, your central circadian clocks and all these mechanisms are looking for a lot of light. OK, I want to talk about seasonal changes in all these things as they relate to mood and metabolism. So as all you know, the Earth spins once every 24 hours on its axis. So part of that day, we're bathed in sunlight, depending on where we are. The other half of the day or part of the day, we're in darkness. The Earth also travels around the sun. 365 days is the time that it takes one year to travel around that sun. The Earth is tilted. It's not perfectly upright. So the Earth is tilted on its axis. So depending on where we are in that 365-day journey and depending on where we are in terms of hemisphere, Northern Hemisphere or Southern Hemisphere, some days of the year are longer than others. Some are very short. Some are very long. If you're at the equator, you experience less variation in day length and therefore night length. And if you're closer to the poles, you're going to experience some very long days. And you're also going to experience some very short days, depending on which pole you're at and what time of year it is. The simple way to put this is depending on time of year, the days are either getting shorter or getting longer. Now, every cell in your body adjusts its biology according to day length, except your brain, body, and cells don't actually know anything about day length. It only knows night length. And here's how it works. Light inhibits melatonin powerfully. If days are long and getting longer, that means melatonin is reduced. If days are getting shorter, that melatonin signal is getting longer. So every cell in your body actually knows external day length and therefore time of year by way of the duration of the melatonin signal.</t>
  </si>
  <si>
    <t>hle_qna_0371</t>
  </si>
  <si>
    <t>CQA-0181</t>
  </si>
  <si>
    <t>Will a fire in my fireplace or using candlelight be too much light?</t>
  </si>
  <si>
    <t>Great question. Turns out that moonlight, candlelight, and even a fireplace, if you have one of these roaring fires going in the fireplace, do not reset your circadian clock at night and trick your brain into thinking that it's morning, even though, if you've ever sat close to a fireplace or even a candle, that light seems very bright. And there are two reasons for that are very important. The first one is that these neurons in your eye that I discussed in the previous episode, these melanopsin ganglion cells, also called intrinsically photosensitive ganglion cells, those cells adjust their sensitivity across the day. And those cells respond best to the blue yellow contrast present in the rising and setting sun, so-called low solar angle sun, also discussed in the previous episode. But those cells adjust their sensitivity such that they will not activate the triggers in the brain that convey daytime signals when they view moonlight, even a full moon, a really bright moon, or fire, because we talked about just how crucial it is to avoid bright lights between the hours of about 10:00 PM and 4:00 AM, except when you need to view things for sake of safety or work and so forth. I also received a lot of questions about red light. In principle, red light will not stimulate the melanopsin retinal neurons that wake up the brain and circadian clock and signal daytime. However, most of the red lights, in particular the red lights that come on these sheets or these products that people are supposed to view them in order to access a number of health effects, those are way too bright and would definitely wake up your body and brain. So if you're thinking about red light for sake of avoiding the negative effects of light later in the day and at night, then you want that red light to be very, very dim, certainly much dimmer than it is on most of those commercial products.</t>
  </si>
  <si>
    <t>hle_qna_0372</t>
  </si>
  <si>
    <t>CQA-0182</t>
  </si>
  <si>
    <t>Could you elaborate on more oxidative fibers, what that is and how it relates to metabolic flexibility?</t>
  </si>
  <si>
    <t>oxidative fibers are muscle fibers that are more aerobic capacity. So those are the ones that you can go long and slow for a very long period of time because it uses a lot of free fatty acids. You need a little bit of glucose in order to activate those free fatty acids.</t>
  </si>
  <si>
    <t>Women-Specific Exercise, Nutrition and Hormonal Health</t>
  </si>
  <si>
    <t>EP-008</t>
  </si>
  <si>
    <t>Stacy Sims</t>
  </si>
  <si>
    <t>413</t>
  </si>
  <si>
    <t>QA-0179</t>
  </si>
  <si>
    <t>CQA-0183</t>
  </si>
  <si>
    <t>Perhaps the most common question I get as it relates to males versus females is intermittent fasting, or time-restricted feeding, as it's sometimes called, an eight-hour feeding window, a six-hour feeding window, a ten-hour feeding window. Is that something that that perhaps differs in terms of its impact and how well it works for men versus women?</t>
  </si>
  <si>
    <t>Yeah. Yeah. So I'll put some parameters around it. Right. So if we talk about intermittent fasting, that's where you have, like the 20 hours nonfeeding window, or you're holding a fast until noon or after, and then we have time-restricted eating. And that's the fancy way of saying normal eating where you're having breakfast and then you stop eating after, or you don't have anything after dinner. Right. So you're eating with your circadian rhythm during the day. If we look at intermittent fasting, where you're holding the fast up till noon or you're having days of really low-calorie restriction, we see in active women, it's very detrimental. Unless you have PCOS or you have some other subclinical issue. And the reason for that is we, as women, have more oxidative fibers. So we hear about all the things about fasting to improve our metabolic flexibility, to improve telomere length, to improve parasympathetic activation. But by the nature of women having more oxidative fibers, we are already metabolically more flexible than mental. Yeah.</t>
  </si>
  <si>
    <t>Hormonal Health Agent; Sleep Agent</t>
  </si>
  <si>
    <t>hle_qna_0374</t>
  </si>
  <si>
    <t>CQA-0184</t>
  </si>
  <si>
    <t>But the other side of the question is, well, how much better would you be if you were to actually pay attention to your circadian rhythm and fuel according to the stress at hand, and knowing that you're going to garner less stress that way?</t>
  </si>
  <si>
    <t>And if we're really tying in nutrition according to that profile, instead of following a fast, we see better brain improvements as well. We see more cognitive function, we see less thyroid dysfunction, and overall, a woman does much better when we're not in that fasted state. Then when you look at population research that's coming out now, they're showing in both men and women who hold their fast till noon and then have an eating window from noon to maybe 6 p.m. have more obesogenic outcomes than people who break their fast at 8 and finished their eating window by 4 or 5 p.m., so it's coming back to the chronobiology of we need to eat when our body is under stress and needs it. Unless we have a specific issue, like obesity, inactivity, PCOS, or other metabolic conditions, then we can look at using fasting as a strategic intervention to help with those modalities.</t>
  </si>
  <si>
    <t>413-414</t>
  </si>
  <si>
    <t>hle_qna_0375</t>
  </si>
  <si>
    <t>CQA-0185</t>
  </si>
  <si>
    <t>Is there a protective effect of starting the eating window? under those conditions, do you still see the obesogenic effect?</t>
  </si>
  <si>
    <t>because we're looking at the way cortisol responds. We know cortisol has lots of fluctuations throughout the day, and it peaks about half an hour after you wake up. Right.</t>
  </si>
  <si>
    <t>414</t>
  </si>
  <si>
    <t>QA-0180</t>
  </si>
  <si>
    <t>CQA-0186</t>
  </si>
  <si>
    <t>I mean, I train regularly and have for years, but I'm not an athlete, I don't get paid to train and I, you know, and so forth. So reps in reserve, perceived effort. Let me just explain this. I think probably 95% of our listenership has never heard these terms.</t>
  </si>
  <si>
    <t>so if we're talking about reps in reserve, this is when you go in. And if you say eight, means you have two reps in reserve. So you finish your eight and you should be able to complete two more with a really good form and then you hit failure.</t>
  </si>
  <si>
    <t>416</t>
  </si>
  <si>
    <t>QA-0181</t>
  </si>
  <si>
    <t>CQA-0187</t>
  </si>
  <si>
    <t>Okay, so is there an across-the-board recommendation for most people that they should generally train their sets in good form to failure to leave a couple reps in reserve? What do you suggest for, let's say, women?</t>
  </si>
  <si>
    <t>And then that also depends on the age of the woman. So if we're looking at the reproductive years, so, you know, 20 to 40, then it doesn't matter so much. You can periodize pretty much how normal periodization works with your mesocycles and your microcycles.</t>
  </si>
  <si>
    <t>417</t>
  </si>
  <si>
    <t>QA-0182</t>
  </si>
  <si>
    <t>CQA-0188</t>
  </si>
  <si>
    <t>What is a good example of a pretraining meal, if you will? And we could put some variation on that for people with different tendencies towards omnivore or vegan or whatever, but what is the timing of that meal relative to training that works best?</t>
  </si>
  <si>
    <t>I'm the kind of person gets up and is out the door within a half an hour to go do whatever I'm gonna do. So it's not like I'm gonna have a full meal.</t>
  </si>
  <si>
    <t>QA-0183</t>
  </si>
  <si>
    <t>CQA-0189</t>
  </si>
  <si>
    <t>As long as we're talking about food and food intake relative to training, what is the suggested post-training window in which one should either avoid or make sure they get nutrition? What do you recommend women eat after they train?</t>
  </si>
  <si>
    <t>we know that women who are in their reproductive years need around 35 grams of good protein, high-quality leucine-oriented protein within 45 minutes. And we see that women who are perimenopausal onwards are 40 to 60 grams because we become more anabolically resistant to food and exercise as we get older.</t>
  </si>
  <si>
    <t>419</t>
  </si>
  <si>
    <t>QA-0184</t>
  </si>
  <si>
    <t>CQA-0190</t>
  </si>
  <si>
    <t>They could wait an hour, two hours, maybe even three hours before ingesting protein. What about carbohydrate?</t>
  </si>
  <si>
    <t>We look at mixed, but for men it's more important because they go through their liver and muscle glycogen so much faster than women. So when we look at women, we want to get around 0.3 grams per kilo of carbohydrate within two hours of finishing. So we look at protein and people are like whoa, that's a big dose of protein. How do I get it all in? It's like, yeah, well you can look at how we mix all of these things and you're also getting carbohydrate in with that. So that's why I say you could have your next meal after your training session. Yeah, there's a time and a place for protein supplementation, but if you're getting that real food and then you're also getting, you know, your magnesium and your potassium and your sodium and all the things that people supposedly lose, and you're able to also repair a lot better.</t>
  </si>
  <si>
    <t>420</t>
  </si>
  <si>
    <t>hle_qna_0382</t>
  </si>
  <si>
    <t>CQA-0191</t>
  </si>
  <si>
    <t>In terms of how many sessions of resistance training per week, is it whole body training? How many sessions of cardiovascular training and what sorts of examples could you give?</t>
  </si>
  <si>
    <t>so if we're looking at that 20, 20-to-30-year-old, a lot of times I really try to get them to focus on the whole movement aspect first. So we phase them in. Same with older women.</t>
  </si>
  <si>
    <t>423</t>
  </si>
  <si>
    <t>QA-0187</t>
  </si>
  <si>
    <t>CQA-0192</t>
  </si>
  <si>
    <t>And for everybody, in all those age ranges that you describe, are you suggesting they train the same muscle groups three or four times per week, or they do some sort of split where it's upper body, lower body, take a day off, or upper body, take a day off, lower body, take a day off? What might work for them?</t>
  </si>
  <si>
    <t>what works for them. If you're looking for short amount of time in the gym because of busy lives, and you can split it if you're looking at, okay, well, I can allocate an hour to an hour and a half in the gym, then you can do total body with adequate rest.</t>
  </si>
  <si>
    <t>424</t>
  </si>
  <si>
    <t>QA-0188</t>
  </si>
  <si>
    <t>CQA-0193</t>
  </si>
  <si>
    <t>Should they, should they really emphasize the high intensity interval training? Should they avoid zone 2?</t>
  </si>
  <si>
    <t>I am notorious for slamming things like Orangetheory and F45 because they market specifically to that age group of women and it's not appropriate because it's not true high-intensity work. When we're looking at women who are really trying to maximize body composition, change and longevity, unfortunately, default to cardio because they think, oh, that's going to help change my body composition, it's going to help me lose body fat.</t>
  </si>
  <si>
    <t>426</t>
  </si>
  <si>
    <t>QA-0189</t>
  </si>
  <si>
    <t>CQA-0194</t>
  </si>
  <si>
    <t>Is there a way that, in the absence of a budget for a personal trainer, that somebody can learn how to do these movements and, as you said, ease into them over the course of even up to four months in a way that they can be confident that they're unlikely to get hurt and really build up their capacity to do real work that can benefit them?</t>
  </si>
  <si>
    <t>this is where... I love technology, for one thing. But if we're staying really basic, I look at some of my family members, and I've gotten them started with just body weight stuff or loading a backpack with cans to add a little bit of resistance so they feel comfortable in their own house, and they might be doing lunges or squats, just keying them up of, like, where foot placement, and knee and that kind of stuff.</t>
  </si>
  <si>
    <t>428</t>
  </si>
  <si>
    <t>QA-0191</t>
  </si>
  <si>
    <t>CQA-0195</t>
  </si>
  <si>
    <t>For instance, is there a particular phase of the menstrual cycle where a woman should expect that motivation and/or recovery would be more challenging?</t>
  </si>
  <si>
    <t>this is the sticky point of recent science, because we see all these research studies and meta-analyses that are coming out of the sports science literature saying that there is no effect of the menstrual cycle on anything. When you look at that population, it is specifically eumenorrheic women, might have a subject pool of 10, if you're lucky, 12.</t>
  </si>
  <si>
    <t>429</t>
  </si>
  <si>
    <t>QA-0193</t>
  </si>
  <si>
    <t>CQA-0196</t>
  </si>
  <si>
    <t>How hard should a woman push through the mental and maybe even physical resistance to train less or not train during a given phase of the cycle?</t>
  </si>
  <si>
    <t>It depends on how she feels. What we can't rely on are things like heart rate variability, because we know that changes with the autonomic nervous system. Change of progesterone.</t>
  </si>
  <si>
    <t>431</t>
  </si>
  <si>
    <t>QA-0194</t>
  </si>
  <si>
    <t>CQA-0197</t>
  </si>
  <si>
    <t>I don't think there's any evidence for that, but I hear that from time to time. Why do you think that myth came to be? Why do you think it propagates? And what can we do to extinguish it? If in fact it's not true?</t>
  </si>
  <si>
    <t>It's not true. We see it comes from a misstep in food intake, and we also see that it's a cultural influence, because if we think about how sports started, it started as a way for men to demonstrate how powerful and aggressive they are. And this is the original Olympics, right? There were no women allowed. And as we feed forward into sport and how it became okay for women to be involved at the high-performance level, if a woman walks in and shows any fallibility, then she's immediately put on a lower stool, right. You can't play with the boys because you have a menstrual cycle. You're bleeding. You're a woman, you're a delicate flower. So women would walk into that professional sports space and be excited if they were amenorrheic or didn't have periods, or they trained hard enough and their period went away because then they were more like men and they could play with the boys. If you start bringing up menstrual cycle in professional sport now, as of the past about four or five years, it's okay to talk about, which is, you know what, 2020. So that myth of high-intensity resistance training causing issues with the menstrual cycle, one, it's a cultural nuance for pushback against women being in that space. But then the reality is women weren't eating enough to accommodate for that stress, which then feeds forward to low energy availability, maybe relative energy deficiency in sport perturbations in all of our menstrual cycle hormones. So it's not the act of the high-intensity resistance training, it's the act of not fueling appropriately for it and then getting the okay to not have your period because, yeah, now you're in with, you're training hard enough, you've lost it. You're more like a man.</t>
  </si>
  <si>
    <t>432-433</t>
  </si>
  <si>
    <t>hle_qna_0400</t>
  </si>
  <si>
    <t>CQA-0198</t>
  </si>
  <si>
    <t>Meaning there will be phases of the menstrual cycle where women will be just naturally less motivated to eat enough carbohydrate, enough protein in order to get the most out of their training. What phases of the menstrual cycle are those?</t>
  </si>
  <si>
    <t>Yeah. As estrogen starts to come up right before ovulation, that estrogen surge really dampens appetite. It also has an interplay with our appetite hormones, which is part of the reason why we don't have that great of an appetite. It holds after ovulation, estrogen dips, you get hungry, it comes up, and people are like, I have some cravings which are driven by progesterone because your body needs more calories, but at the same time, with the elevation of estrogen, you're not hungry. You have cravings, but you're not hungry. Yeah. So it's trying to disconnect those. It's like your appetite is something that will come back, of course, once you eat, but cravings are more of that psychological capacity of, yeah, my body needs more, but I'm not quite sure what. So to get women to understand what's happening across the board, it's always coming back to, let's fuel appropriately for the exercise. And even if you're not hungry, if you are fueling appropriate, appropriately at that point in time, if you end up with less, at least you've stopped that breakdown state, that catabolic state. So we don't get those perturbations in the hypothalamus. That's my biggest concern for women is really taking care of that signaling from the brain to the rest of the body. And if we have fuel on board, even though we have appetite perturbations, and if you go do a really hard workout in the heat, you're not going to be hungry either. But if you're having a cold protein drink after that hot workout, you're taking care of that immediate need to shut down the signals that we need to break down things.</t>
  </si>
  <si>
    <t>433-434</t>
  </si>
  <si>
    <t>hle_qna_0401</t>
  </si>
  <si>
    <t>CQA-0199</t>
  </si>
  <si>
    <t>And do you recall what the direction of the effect was on the amygdala?</t>
  </si>
  <si>
    <t>It increased fear in women who were on the OC or a contraceptive pill, made them less willing to take chances. And when they went off it, they're like, well, why couldn't I do that before? So that's why they started looking at the amygdala.</t>
  </si>
  <si>
    <t>436</t>
  </si>
  <si>
    <t>QA-0198</t>
  </si>
  <si>
    <t>CQA-0200</t>
  </si>
  <si>
    <t>Is there any evidence that other forms of female contraception can be, let's just say, problematic for the types of things we're discussing today?</t>
  </si>
  <si>
    <t>Like the implant and the Depo?</t>
  </si>
  <si>
    <t>QA-0199</t>
  </si>
  <si>
    <t>CQA-0201</t>
  </si>
  <si>
    <t>Firstly, what are some things that can be measured directly from menstrual blood that are informative for women?</t>
  </si>
  <si>
    <t>well, if you think about menstrual fluid, everyone thinks about it as a discard product, but it's a very good indicator of what's happening from an endocrine standpoint. Gives a really good indication of what's happening from an endometrial standpoint. So if you're looking at all the cytokines and the proteins and the tissue that comes from it, it's a huge indicator that's naturally discharged that we're now looking at for determining HPV.</t>
  </si>
  <si>
    <t>437</t>
  </si>
  <si>
    <t>QA-0200</t>
  </si>
  <si>
    <t>CQA-0202</t>
  </si>
  <si>
    <t>Is there anything that springs to mind of interesting studies as it relates to androgens or estrogens in women athletes and as it relates to exercise?</t>
  </si>
  <si>
    <t>They haven't done any specific studies like that in women. We do see that under stress, the cortisol increases, and if you have an adequate response to it and your body can overcome it, then, yes, you get a boost in testosterone. For women, we see this in a lot of the night mission shift changes and tactical athletes.</t>
  </si>
  <si>
    <t>438</t>
  </si>
  <si>
    <t>Mental Health Agent; Hormonal Health Agent</t>
  </si>
  <si>
    <t>QA-0202</t>
  </si>
  <si>
    <t>CQA-0203</t>
  </si>
  <si>
    <t>Do women need to supplement iron given that they lose iron during menstruation?</t>
  </si>
  <si>
    <t>It's interesting because we have a change in hepcidin, or hepcidin, depending on which part of the world you come from, because it is increased under times of inflammation and decreased under times of iron loss. So we see a significant change across the menstrual cycle.</t>
  </si>
  <si>
    <t>QA-0203</t>
  </si>
  <si>
    <t>CQA-0204</t>
  </si>
  <si>
    <t>And if she can add a second blood test at a different phase of the menstrual cycle, where would you place that second test?</t>
  </si>
  <si>
    <t>Day two of the menstrual cycle, second day of bleeding to get a really good indication of what your true estrogen level is at baseline.</t>
  </si>
  <si>
    <t>439</t>
  </si>
  <si>
    <t>QA-0205</t>
  </si>
  <si>
    <t>CQA-0205</t>
  </si>
  <si>
    <t>Is caffeine safe for women? But are there case conditions where women should be cautious about their intake of caffeine, independent of this anxiety thing?</t>
  </si>
  <si>
    <t>it's more of a genetic factor than it is a sex factor. So, I mean, both men and women will be fast metabolizers, slow metabolizers or not have an effect. That becomes the bigger rock of them.</t>
  </si>
  <si>
    <t>440</t>
  </si>
  <si>
    <t>QA-0206</t>
  </si>
  <si>
    <t>CQA-0206</t>
  </si>
  <si>
    <t>What is Schisandra?</t>
  </si>
  <si>
    <t>It's an adaptogen.</t>
  </si>
  <si>
    <t>What's Schisandra?</t>
  </si>
  <si>
    <t>441</t>
  </si>
  <si>
    <t>QA-0208</t>
  </si>
  <si>
    <t>CQA-0207</t>
  </si>
  <si>
    <t>But deliberate cold exposure. Like it? Hate it? What do you think? Do you recommend it for women?</t>
  </si>
  <si>
    <t>I recommend it for open water swimmers who might experience that vagal response when they first dive into the cold. I prefer heat for women. Everyone's a responder to the heat. You get better adaptations. Yep. Sauna. Yep. Preferably a true Finnish sauna. Infrared doesn't. It warms the skin, but not the core.</t>
  </si>
  <si>
    <t>442-443</t>
  </si>
  <si>
    <t>hle_qna_0417</t>
  </si>
  <si>
    <t>CQA-0208</t>
  </si>
  <si>
    <t>Which then translates to what, in terms of athletic performance?</t>
  </si>
  <si>
    <t>You have an increase in your cardiovascular effort. And because you have greater amount of blood volumes, you have greater amount of pretty much blood circulating. So you have more available for muscle metabolism, heat loss.</t>
  </si>
  <si>
    <t>447</t>
  </si>
  <si>
    <t>QA-0215</t>
  </si>
  <si>
    <t>CQA-0209</t>
  </si>
  <si>
    <t>I mean, you've taught us about Schisandra, about post-training sauna exposure to improve performance by increasing red blood cell. Is there anything else that kind of springs to mind?</t>
  </si>
  <si>
    <t>I'm a fan of what I call the track stack that we used to use for track athletes, but then for really significant high-intensity work. So track stack is kind of the idea from the old bodybuilding set where you're taking 200 milligrams of caffeine, low dose baby aspirin, but then I add beta-alanine. I know.</t>
  </si>
  <si>
    <t>448</t>
  </si>
  <si>
    <t>hle_qna_0422</t>
  </si>
  <si>
    <t>CQA-0210</t>
  </si>
  <si>
    <t>Should anything be done in terms of recovery to make sure that you offset that additional stress that's achieved with this track stack?</t>
  </si>
  <si>
    <t>just making sure that you're not stacking two days in a row of high- intensity work, like really making sure that you're recovering well because it is a significant stress on the body.</t>
  </si>
  <si>
    <t>449</t>
  </si>
  <si>
    <t>QA-0217</t>
  </si>
  <si>
    <t>CQA-0211</t>
  </si>
  <si>
    <t>Are there female specific requirements for sleep that vary across the menstrual cycle and or by age or just generally? Do men and women need to think about the need for sleep differently?</t>
  </si>
  <si>
    <t>part of it is the obvious, like, when you're talking about sleep temperature, right. Women and men have variations in their sleep temperature and what's optimal. So looking at that, like, you need to create an environment for you that is cool, comfortable, which is probably going to be different from your partner who might be sharing your bed.</t>
  </si>
  <si>
    <t>Lifestyle Agent; Hormonal Health Agent</t>
  </si>
  <si>
    <t>QA-0218</t>
  </si>
  <si>
    <t>CQA-0212</t>
  </si>
  <si>
    <t>How do you place them into the landscape of nutrition? What are some of your favorite supplements in any of those categories, specifically for women, and perhaps even specifically during certain phases of the menstrual cycle?</t>
  </si>
  <si>
    <t>The number one is creatine. Creatine for women, doesn't matter what age, it's really important. We're seeing a lot for brain mood and actually gut health.</t>
  </si>
  <si>
    <t>450</t>
  </si>
  <si>
    <t>QA-0219</t>
  </si>
  <si>
    <t>CQA-0213</t>
  </si>
  <si>
    <t>But assuming that the adaptogens are reducing cortisol levels in addition to doing other things, is there a particular time of day or night that people should consider taking them? Should they avoid taking it early in the day?</t>
  </si>
  <si>
    <t>Yep. And I think the problem is people think that they don't want any cortisol. They think that would be bad.</t>
  </si>
  <si>
    <t>452</t>
  </si>
  <si>
    <t>QA-0220</t>
  </si>
  <si>
    <t>CQA-0214</t>
  </si>
  <si>
    <t>as it relates to women, one question, what would it be? And one of the most common questions I got in the 50-and-up category was, what is the most efficient way for a woman older than 50 to train for the maximum health span and lifespan benefits?</t>
  </si>
  <si>
    <t>I love this question because I get it all the time. We have to turn our brains away from everything that's been predicated before to this point. So if we're looking for longevity and we're looking at what we want to do when we're 80 or 90, we want to be independently living, we want to have good proprioception, balance, we want to have good bones, and we want to be strong.</t>
  </si>
  <si>
    <t>454</t>
  </si>
  <si>
    <t>QA-0222</t>
  </si>
  <si>
    <t>CQA-0215</t>
  </si>
  <si>
    <t>What is the most efficient way for women to train for health, vigor, and longevity?</t>
  </si>
  <si>
    <t>Making things fun. For the most part, I don't want people to think that it's a chore. So if you're someone who's been told you need to run and you hate running, then don't run.</t>
  </si>
  <si>
    <t>What is the most efficient way for them to train for health, vigor, and longevity?</t>
  </si>
  <si>
    <t>456</t>
  </si>
  <si>
    <t>QA-0223</t>
  </si>
  <si>
    <t>CQA-0216</t>
  </si>
  <si>
    <t>What is the appropriate high intensity workout look like?</t>
  </si>
  <si>
    <t>so if I talk about true high-intensity interval training, if you're a runner, it's going to the track and doing sets of 400, 800-</t>
  </si>
  <si>
    <t>457</t>
  </si>
  <si>
    <t>QA-0224</t>
  </si>
  <si>
    <t>CQA-0217</t>
  </si>
  <si>
    <t>So 30 seconds all out, then rest. What? 10-15 seconds, repeat?</t>
  </si>
  <si>
    <t>No, you want to, because now we're looking at that top end where we want regeneration of your ATP, you know, all of that system and central nervous system recovery. So this is 30 seconds all out. Could be two or three minutes of recovery. Because I'm not looking at Tabata where you're 20 seconds on, 20 seconds off. Because that's not the intensity we want. We want you to go all out and recover well enough to be able to go all out again. You're not leaving anything in the tank. So those are what I mean by high-intensity interval training, or when you're looking at polarizing your cardiovascular work, that's the top end. Those are the two examples of your top end. And then your recovery is that long, slow walking on another day where you're not going and doing a tempo run, you're not doing a 5k easy jog, because that puts you in that moderate intensity.</t>
  </si>
  <si>
    <t>458</t>
  </si>
  <si>
    <t>hle_qna_0434</t>
  </si>
  <si>
    <t>CQA-0218</t>
  </si>
  <si>
    <t>And then in terms of starches to replace glycogen, especially if people are doing these high-intensity interval training sessions and the resistance training, what are your preferred sources?</t>
  </si>
  <si>
    <t>Depends on who I'm working with. I have some people who love Coco Pops and kids' cereals.</t>
  </si>
  <si>
    <t>460</t>
  </si>
  <si>
    <t>QA-0226</t>
  </si>
  <si>
    <t>CQA-0219</t>
  </si>
  <si>
    <t>Where do you like to see women get their fats from?</t>
  </si>
  <si>
    <t>Again, I'll do a full disclosure. I have been vegan since I was in high school because of an incident of a field trip to a pig slaughterhouse and driving down the 5. But that's my own preference.</t>
  </si>
  <si>
    <t>QA-0227</t>
  </si>
  <si>
    <t>CQA-0220</t>
  </si>
  <si>
    <t>If you had a magic wand and you could get all the women on earth now and going forward to make a change or changes — you don't have to pick just one — in terms of nutrition, how they think about their hormone cycle, exercise, health span, lifespan, what would it be?</t>
  </si>
  <si>
    <t>I think I would have everyone understand their intrinsic selves because we have been inundated so much with sociocultural rhetoric and so much external noise that women have forgotten what it means to listen to themselves and their bodies. I mean, that's the one thing that I have to reteach women to do so often.</t>
  </si>
  <si>
    <t>461</t>
  </si>
  <si>
    <t>QA-0228</t>
  </si>
  <si>
    <t>CQA-0221</t>
  </si>
  <si>
    <t>But what are we talking about when we're talking about metabolic function and dysfunction?</t>
  </si>
  <si>
    <t>I think you're exactly right. I think that when we hear the word metabolism, the first thing that comes to most people's minds is, my weight. Do I have a fast metabolism, or do I have a slow metabolism or something like basal metabolic rate?</t>
  </si>
  <si>
    <t>Metabolic Health, Mitochondria and Whole-Body Well-Being</t>
  </si>
  <si>
    <t>EP-009</t>
  </si>
  <si>
    <t>Casey Means</t>
  </si>
  <si>
    <t>465</t>
  </si>
  <si>
    <t>QA-0230</t>
  </si>
  <si>
    <t>CQA-0222</t>
  </si>
  <si>
    <t>Do I have a fast metabolism, or do I have a slow metabolism or something like basal metabolic rate?</t>
  </si>
  <si>
    <t>And I think what's really important for people to realize is that metabolism is actually the foundation of all health. It is the core foundational pathway that drives all other aspects of health. And it's also the core foundational pathway that's truly getting crushed in the modern American world and underlying nine of the 10 leading causes of death in the United States today. It's really quite relevant to everyone. And the spectrum of metabolic-rooted disease is vast and actually really relevant to most Americans. The latest research from American College of Cardiology suggests that 93% of American adults have suboptimal metabolism. And we can go into what that means. But fundamentally, when we're talking about metabolism, we're talking about how we convert food energy to human energy. So we take in an astonishing 70 metric tons or so of food in our lifetime, and that is potential energy. It's energy from the environment that's outside of us that, through our metabolic pathways, gets converted to a currency of energy that can then be used to pay for essentially every chemical reaction inside our body. And the bubbling up of all of those chemical reactions is our lives. And so when metabolism is not working properly, it's essentially creating underpowered cells. And like any city or factory or machine, not having adequate power will lead to dysfunction. And the reason that the metabolic spectrum of disease is so vast is because we have over 200 cell types in the body, and underpowering in different cell types is going to look like different symptoms, because underpowering in a astrocyte is going to look different than underpowering an ovarian theca cell or an endothelial cell. It's going to look different, but the core foundational process that is dysfunctional can actually be the same, and I think the biggest blind spot in Western healthcare and actually the reason that health outcomes are actually getting worse every year in the United States is because fundamentally, we are ignoring metabolic health and metabolic dysfunction. We are laser focused on the downstream symptoms that result from metabolic dysfunction in different cell types. And we spend all of our energy focusing on those symptoms, playing whack-a-mole with them, and really ignoring that underlying, foundational root cause of metabolic function. And what's so fascinating to me and what I saw in the healthcare system as like a super subspecialist, as an ENT surgeon, is that the more we specia</t>
  </si>
  <si>
    <t>466-467</t>
  </si>
  <si>
    <t>hle_qna_0440</t>
  </si>
  <si>
    <t>CQA-0223</t>
  </si>
  <si>
    <t>So if you would, could you get us all on the same page about what are mitochondria and what do they do? Why are they so important?</t>
  </si>
  <si>
    <t>absolutely. The mitochondria are the structure within the cells. We have 40 trillion cells, and each cell might have a handful or many thousand mitochondria.</t>
  </si>
  <si>
    <t>467</t>
  </si>
  <si>
    <t>QA-0231</t>
  </si>
  <si>
    <t>CQA-0224</t>
  </si>
  <si>
    <t>And what you find for almost every chronic disease we're seeing in the U.S. is that you will find a lot of papers on how the mitochondria are dysfunctional, lower ATP generation in a lot of these cell types, and then what does that do?</t>
  </si>
  <si>
    <t>And this gets to your question about chronic inflammation and oxidative stress. Well, when you've got that dysfunctional mitochondria, let's say, in a nasal mucosal tissue, that is a cell that can't do its job, that is a cell that's underpowered.</t>
  </si>
  <si>
    <t>469-470</t>
  </si>
  <si>
    <t>hle_qna_0443</t>
  </si>
  <si>
    <t>CQA-0225</t>
  </si>
  <si>
    <t>Are some of the same issues with metabolic dysfunction occurring outside of the United States?</t>
  </si>
  <si>
    <t>any country where we've exported the standard American diet and some of the other norms of Western living are starting to see the same rates of chronic disease. But it is worth not mincing words here. Of all high-income countries in the world, the United States has the worst chronic disease rates and the lowest life expectancy.</t>
  </si>
  <si>
    <t>471</t>
  </si>
  <si>
    <t>QA-0232</t>
  </si>
  <si>
    <t>CQA-0226</t>
  </si>
  <si>
    <t>Is it simply a matter of getting the mitochondria to function better? Or is it that one can actually create more mitochondria?</t>
  </si>
  <si>
    <t>This is the key question for how we can get healthy. And it's really about creating capacity in the body to turn more potential energy to usable energy, as opposed to taking that potential energy and shunting it to a storage form. It's all just like, I think about everything visually, and I'm like, you got the circular cell from a high school biology textbook.</t>
  </si>
  <si>
    <t>472</t>
  </si>
  <si>
    <t>QA-0233</t>
  </si>
  <si>
    <t>CQA-0227</t>
  </si>
  <si>
    <t>You're a doctor, so you can prescribe things. What would you tell people to do? How many short walks per day? Is it three? Is it five? What are we talking?</t>
  </si>
  <si>
    <t>I would say at least three. I would say aiming for more than that is good, though. So to sort of just give a sense of the picture of walking — if walking were a pill, it would be the most impactful pill we've ever had in all of modern medicine. There was a paper in JAMA. Sixty-three hundred participants followed for 10 to 11 years, and the people who simply walked 7000 steps per day, compared to less than that, had an up to 70% lower risk of all-cause mortality in the follow-up period. So not causality, but it's pretty incredible. They've done follow-up research with slightly different numbers showing, again, though, like many thousands of people in the study followed for about 10 years. Eight thousand to 12,000 steps per day was associated with 50% to 65% lower all-cause mortality. And this has been played out in many studies showing about a 50% reduction in Alzheimer's, dementia, obesity, type 2 diabetes, depression, cancer, gastric reflux, just all across the board. And I think the key thing is that it's not about the steps, it's about the fact that muscle contraction is medicine. When we contract our muscles, even in a very, like, low-grade way, like walking or doing a couple air squats, you know, we're activating AMPK, and we are essentially causing that cell to have a stimulus to push glucose channels to the cell membrane. Most of the time, the glucose channels are like in vesicles, in little bags inside the cells. They're not on the cell membrane. So of course that's going to keep the glucose in your bloodstream not being processed by the mitochondria. So when we think about steps, it's a proxy metric for just moving more throughout the day. So let's take two people, you have a person who's walking for one to two minutes every 30 minutes throughout the day. Maybe they're exercising at the end of the day or the beginning of the day, maybe they're not. That person is stimulating glucose channels to be at the membrane all day. Now let's take another person who works out really hard for one hour in the beginning or the end of the day. They feel great about it, they've checked that off their box, but they're sitting the entire rest of the day. Yes, they have gotten the benefits from the exercise, but for a lot of that day, those glucose channels are inside the cell, not doing the work they could be doing. So I think about these little, teeny, short walking breaks or push-up breaks or air squat breaks every 30 minutes or so throughout the day, as me essentially inside the cell, pushing the glucose channels, the cell membrane, to make them constitutively active. It's totally different physiology, and it's so easy. So it's not about the steps, it's about muscle contraction regularly throughout the day. And this has been shown out in actually more clinical research, which has taken — there's been several studies, two that I think are fascinating, where they basically took two groups and they said, okay, we're going to have you walk 20 minutes before each meal, three times a day, 20 minutes after each meal. So that's also three times a day, or for like two minutes every 30 minutes throughout the day. Three separate groups.</t>
  </si>
  <si>
    <t>474-476</t>
  </si>
  <si>
    <t>hle_qna_0448</t>
  </si>
  <si>
    <t>CQA-0228</t>
  </si>
  <si>
    <t>Is that building in simply a 10-minute walk around the block, or a dance party in the kitchen?</t>
  </si>
  <si>
    <t>Moving your muscles for 10 minutes after a meal can drastically reduce your glucose response. Cause you're just bringing all those channels to the membrane, you're taking up the glucose, you're using it. It's a whole different physiology than sitting on the couch after a meal. That's very high impact, it's high leverage if it's after a meal. So I highly recommend that. And the Levels, data and clinical data has shown that out time and time again.</t>
  </si>
  <si>
    <t>477</t>
  </si>
  <si>
    <t>hle_qna_0449</t>
  </si>
  <si>
    <t>CQA-0229</t>
  </si>
  <si>
    <t>What are your thoughts on under-the-desk treadmilling? Is it wise to get a treadmill, to treadmill under the desk?</t>
  </si>
  <si>
    <t>I'm a massive fan of under-treadmill desks because genuinely I believe that if we move more of our daily activities that we're doing seated indoors to outdoors moving, it would radically change the health of the United States with real physiology underneath it. So there's actually been research on under-desk, standing desks.</t>
  </si>
  <si>
    <t>478</t>
  </si>
  <si>
    <t>QA-0237</t>
  </si>
  <si>
    <t>CQA-0230</t>
  </si>
  <si>
    <t>Is that right? So you're able to work without thinking about having to treadmill?</t>
  </si>
  <si>
    <t>I am putting it at such a slow speed, I think I'm usually walking at like, I mean, it's very, very, glacially slow. I do put my Oura Ring on my second toe when I do this because otherwise it doesn't count my steps. Because if your hands are at your desk, it won't count your steps because--</t>
  </si>
  <si>
    <t>479</t>
  </si>
  <si>
    <t>QA-0238</t>
  </si>
  <si>
    <t>CQA-0231</t>
  </si>
  <si>
    <t>So, bouncing the knee, that thing that drives everybody crazy if you're not the one doing it, soleus push-ups. What are your thoughts about this in that study?</t>
  </si>
  <si>
    <t>Contracting muscles. It's medicine. I find the concept of NEAT just endlessly fascinating, because we kind of come up with this term "non-exercise activity thermogenesis," and the data is really good about it. It basically shows that this is a prime potential intervention for the obesity epidemic. And it all goes back to the cell. It's essentially a stimulus that's telling the body to stay metabolically active as opposed to keeping all those metabolic pathways, you know, dormant during the day. And I think that it is funny, though, that we have these acronyms for basically, like, this is just the way life was 100 years ago. If you look at the 1800s, almost 100% of Americans lived on a farm, basically, like pre-industrialization, pre-urbanization, most Americans, not 100%, but close, lived. They grew some of their own food. They lived either on a farm or had a large garden. Now that number is less than 1%. So, like, movement was just built into everything we did. And you think from there, like, what has happened? Like, we were outside, we were moving. Our activities of daily living involved movement. And if you just take the grocery example, then it moved to, like, okay, maybe farmers markets and sort of like, you know, outdoor open-air markets. Then it's supermarkets, then it's. Now it's literally buying food online with the click of the button. And now some people aren't even doing that. They're literally on the food delivered to them with Uber Eats. So at every level, we've taken away movement from everyday life, and now we have sort of an acronym to bring it back in. But really, it's about just giving the body stimuli that the cells have been entrained to expect throughout all of human history and building them back into our modern life. So I think NEAT, it's incredibly important, and I think it also brings up this point that is so critical, which is, like, I really think our way out of this chronic disease epidemic, and even for people who are listening, don't have a chronic disease. Any real chronic symptoms we're dealing with. And just the fact that we're not feeling as good as we could. The way out is pretty simple. It's some of these basic things like walking more throughout the day, moving more throughout the day, getting outside, you know, eating clean, unpoisoned food. A lot of these things that have the best data are so simple. And I think it's, like, really important to just always remember, like, the game and the industry. It's all about how complex can we make it, like, specialization, talking about some of the minutiae. But, like, at the end of the day, all the simple habits that we know are healthy fundamentally improve cellular biology. And some of these things, like the NEAT, the walking, it's emblematic of the fact that some of the simplest solutions are the ones that are by far the most effective. And I think the biggest misconception in healthcare right now is that the way out and the way to get really back to true incredible health is complicated. Like, it's really not that complicated. We've got to move more throughout the day. That's one of them. You know, on each pillar that we touched on earlier, food, sleep, all of this, you know, when we talk about the simple habits that we know work, the reason they work is because they all positively impact the mitochondria. They positively impact oxidative stress, they positively impact inflammation. So, yeah, I love it.</t>
  </si>
  <si>
    <t>480-481</t>
  </si>
  <si>
    <t>hle_qna_0452</t>
  </si>
  <si>
    <t>CQA-0232</t>
  </si>
  <si>
    <t>Why would you do that? What do you think are the three to five things that basically everybody, if they can, should know about what's circulating in their blood?</t>
  </si>
  <si>
    <t>You've got the big ones. So this is key, is that every single person listening, I hope, after this episode, will go to their health record or send their doctor a message and at least get the following test. And the first seven that I'll mention are very basic, and people might take umbrage to them, because obviously, there's a lot of debate about, like, what's everyone's favorite lab tests.</t>
  </si>
  <si>
    <t>481</t>
  </si>
  <si>
    <t>QA-0240</t>
  </si>
  <si>
    <t>CQA-0233</t>
  </si>
  <si>
    <t>What do you think are the three to five things that basically everybody, if they can, should know about what's circulating in their blood?</t>
  </si>
  <si>
    <t>I'm imagining LDL, HDL, this kind of thing, I guess. APO B is a big favorite of our friend Peter Attia. Fasting blood glucose, continuous blood glucose, postmeal, etc. Just kind of evaluating how exercise, food, etc. impacts blood glucose. And then I'll leave the other categories open, because my point here is not to answer the question, but that's what comes to mind.</t>
  </si>
  <si>
    <t>481-482</t>
  </si>
  <si>
    <t>hle_qna_0455</t>
  </si>
  <si>
    <t>CQA-0234</t>
  </si>
  <si>
    <t>Yeah, I mean, one of the things that's really tricky, gosh, is that the language around nutrition and health is complicated because people hear the word "fat," they think body fat, right? And so there's a middle ground, right?</t>
  </si>
  <si>
    <t>And how it's helping us with that tapestry of understanding the trifecta of bad energy is that if you think about it, let's just go back to that cell and that poor mitochondria that's being absolutely decimated by our environment, and its capacity is low.</t>
  </si>
  <si>
    <t>484</t>
  </si>
  <si>
    <t>QA-0241</t>
  </si>
  <si>
    <t>CQA-0235</t>
  </si>
  <si>
    <t>But when Attia was here, one of the several times he was here, he really pushed on blood pressure, such a key metric, right? What's the secret code?</t>
  </si>
  <si>
    <t>Truly. And I think the nice thing about these, again, very basic tests, and there are so many other tests that I talk about in my book and that you've talked about on your podcast, APO B, uric acid, fasting insulin, HOMA-IR, hs-CRP, liver function test, GGT, all these other tests that are great, that can really tell us more about mitochondrial dysfunction, oxidative stress, chronic inflammation.</t>
  </si>
  <si>
    <t>486</t>
  </si>
  <si>
    <t>QA-0242</t>
  </si>
  <si>
    <t>CQA-0236</t>
  </si>
  <si>
    <t>And then just talking about one other biomarker that we talked about, which was blood pressure, people might say, well, how does blood pressure relate to, like, what's going on inside the cell, you know, in the mitochondria and whatnot?</t>
  </si>
  <si>
    <t>And really, the fascinating link is that when that cell becomes insulin resistant, which, again, is a compensatory mechanism for mitochondrial dysfunction, the insulin is gonna rise in the blood because the body's insulin resistant. So the body's gonna churn out more insulin to try and overcome the insulin block to drive the sugar into the cells. So insulin levels rise. Well, insulin is one of the key activators of nitric oxide, which is the molecule in the blood that dilates and relaxes blood vessels. And so when we become insulin resistant and we're not responding to that insulin signal, we end up getting less nitric oxide activity. So this is how, kind of looking at even these very basic, very cheap biomarkers, through the lens of basic cellular physiology, we can start to see, man, my body might be, like, underpowered. I might have a mitochondrial issue here. So that's a few of those tests that we really want to shoot for.</t>
  </si>
  <si>
    <t>hle_qna_0461</t>
  </si>
  <si>
    <t>CQA-0237</t>
  </si>
  <si>
    <t>What are some of the things that one can do in order to try and move those needles in the right direction? What are a few others?</t>
  </si>
  <si>
    <t>I think on the highest level, it's about running through what are the science-based things that we know in our environment can lead to metabolic dysfunction and take honest stock of how those factors are playing out in your life and then choose a few to start moving in a different direction.</t>
  </si>
  <si>
    <t>488</t>
  </si>
  <si>
    <t>QA-0243</t>
  </si>
  <si>
    <t>CQA-0238</t>
  </si>
  <si>
    <t>Would most people, for instance, be wise to cut back on the total number of sugars, or the total amount of sugar, rather perhaps reduce the amount of carbohydrate and replace it with some lean, quality protein? I mean, are there generalizations that we can make, or is it really all just about not getting excessive calories and trying to get those calories from the most nutrient-rich sources?</t>
  </si>
  <si>
    <t>just drilling in on two things you just said there. So one thing you said that was interesting was that you're lucky that you like all of those foods. And then the second thing was, is it just about not getting excess calories?</t>
  </si>
  <si>
    <t>490</t>
  </si>
  <si>
    <t>QA-0244</t>
  </si>
  <si>
    <t>CQA-0239</t>
  </si>
  <si>
    <t>And then the second thing was, is it just about not getting excess calories?</t>
  </si>
  <si>
    <t>But I think what's interesting about both of those is that I would argue that the reason you like those foods is because you have given your body enough whole, real foods that now everything in your biology, neurobiologically, your reward circuitry, your microbiome, your satiety, hormone threshold, all of these are now basically creating a situation in which you like those foods. And then the caloric thing fits into that. Because the reason we're eating excess calories, the reason chronic nutrition is happening, and the reason we are quite literally, in the United States, eating ourselves to death for the first time in human history, is because we're not eating real food and we're eating 60% to 75% of our calories of ultraprocessed, nutrient-depleted foods that fundamentally don't give our cells what they need. And a real premise that I think is so important to realize is that our cells are brilliant. And if the cells aren't getting what they actually need to function properly, they will drive you to eat until they get their needs met. Unfortunately, because the ultraprocessed food is designed to be highly addictive, and it's devoid of what the cells actually need for good function, we end up eating ourselves into a grave, and now almost 80% of Americans are overweight or obese. Close to 50% of the country is obese. We literally gloss over this as a culture. It has become so normal in such a short amount of time. But I always think about the fact that, like, there are really no other animal species in the world that have obesity and chronic disease epidemics, and they don't have social media, they don't have experts, they don't have PubMed, they don't have the FDA, they don't have the USDA, they don't have any of it. And they have somehow figured out a way to stay at a healthy weight and to not get heart disease. And it's because they're eating real food that meets the needs of their cells. And so I think to just boil that down, the root cause of the problem is that we have a toxic food supply that's no longer filled with the molecular information that our body needs to know to be satiated and to function properly. And so through the complex biology of satiety hormones and neurobiology and microbiome function, we are driven to eat so, so, so much more. So truly, the jumping-off point for anyone on the quest to better health is to eat as much real, unprocessed food from good soil as possible. And really of any dietary philosophy they want. Truly, I think if</t>
  </si>
  <si>
    <t>490-491</t>
  </si>
  <si>
    <t>hle_qna_0467</t>
  </si>
  <si>
    <t>CQA-0240</t>
  </si>
  <si>
    <t>Except it's got a certain Snickers bar taste, right? And this is enough of it, right?</t>
  </si>
  <si>
    <t>You will self-regulate, because the body, like every other animal in the world, is exquisitely designed to regulate hunger. On a very intuitive level, if we eat natural food, I think it's almost ridiculous to talk about calories and isolation, because the reason we're eating more calories is because we're eating ultraprocessed food.</t>
  </si>
  <si>
    <t>493</t>
  </si>
  <si>
    <t>QA-0245</t>
  </si>
  <si>
    <t>CQA-0241</t>
  </si>
  <si>
    <t>And so how do we actually think about just literally giving the body what it needs to stimulate satiety hormones?</t>
  </si>
  <si>
    <t>And the processed foods aren't giving us those things, you know, the things that are going to stimulate those cells, the things that will, I mean, this is kind of fascinating, if you don't mind going down a little road--</t>
  </si>
  <si>
    <t>494-495</t>
  </si>
  <si>
    <t>hle_qna_0469</t>
  </si>
  <si>
    <t>CQA-0242</t>
  </si>
  <si>
    <t>What is DPP-4?</t>
  </si>
  <si>
    <t>It's an enzyme that breaks down GLP-1.</t>
  </si>
  <si>
    <t>496</t>
  </si>
  <si>
    <t>QA-0246</t>
  </si>
  <si>
    <t>CQA-0243</t>
  </si>
  <si>
    <t>What does the evidence say about L-glutamine supplementation?</t>
  </si>
  <si>
    <t>--antioxidants, lowering blood sugar, ginseng. So those are kind of the L- cell ones. The actual secretion of more GLP-1, one of the most potent ones, and the study that looks at this, like the bar graphs are very clearly statistically significant — lots of asterisks — is actually thylakoids.</t>
  </si>
  <si>
    <t>What are your thoughts on supplementing L-glutamine?</t>
  </si>
  <si>
    <t>497</t>
  </si>
  <si>
    <t>QA-0249</t>
  </si>
  <si>
    <t>CQA-0244</t>
  </si>
  <si>
    <t>It's controversial. I know that some people do it in an effort to relieve leaky gut, but there aren't any randomized controlled trials for that. So depending on one stance on what's required for kind of a threshold for adopting something, some people say that's crazy. Other people really swear by supplementing L-glutamine. Maybe it's through this route of increasing L-cells that some of the gut relief might exist. I guess we'd have to explore it. So that's speculative, folks. So this is interesting. These are ways to increase the cells that then make GLP-1. So fiber, prebiotic, probiotic fiber, and fermented--</t>
  </si>
  <si>
    <t>hle_qna_0472</t>
  </si>
  <si>
    <t>CQA-0245</t>
  </si>
  <si>
    <t>What are thylakoids, and why are they discussed in relation to satiety?</t>
  </si>
  <si>
    <t>Thylakoids are so fascinating. Thylakoids are actually a structure in plants that are part of the chloroplasts. So you know, chloroplasts.</t>
  </si>
  <si>
    <t>Thylakoids. Tell me more about thylakoids.</t>
  </si>
  <si>
    <t>498</t>
  </si>
  <si>
    <t>QA-0250</t>
  </si>
  <si>
    <t>CQA-0246</t>
  </si>
  <si>
    <t>They just come to me and say, like, how do I lose 50 pounds without having to exercise it all off? You know, as the only source of weight loss?</t>
  </si>
  <si>
    <t>--Ozempic is the commercial name, and Mounjaro and Wegovy.</t>
  </si>
  <si>
    <t>QA-0251</t>
  </si>
  <si>
    <t>CQA-0247</t>
  </si>
  <si>
    <t>Got it, is that GLP-1 acts more or less as an appetite suppressant? So many millions of people are now taking GLP-1 analogs, is that right?</t>
  </si>
  <si>
    <t>I think there were over 20 million prescriptions in the United States last year.</t>
  </si>
  <si>
    <t>499</t>
  </si>
  <si>
    <t>High - deictic wording</t>
  </si>
  <si>
    <t>QA-0252</t>
  </si>
  <si>
    <t>CQA-0248</t>
  </si>
  <si>
    <t>Can do both, right? Or is it the case that when people have a pill or an injection or a potion that gives them the effect that they want, that they just remain sedentary?</t>
  </si>
  <si>
    <t>I think we have to look at history here. I mean, first of all, there have been other weight-loss medications throughout history that you've talked about in the podcast, like the fen-phen. And then there was another one, I think even before that, that made people, their temperature go up.</t>
  </si>
  <si>
    <t>500</t>
  </si>
  <si>
    <t>QA-0255</t>
  </si>
  <si>
    <t>CQA-0249</t>
  </si>
  <si>
    <t>So what about temperature? What's the deal with temperature and mitochondria?</t>
  </si>
  <si>
    <t>no one has basically described this better than you, I feel like, on your platform. But I think about it very, very simply. Throughout human history, humans have really, in so many different parts of the world, been exposed to hugely fluctuating temperatures.</t>
  </si>
  <si>
    <t>502</t>
  </si>
  <si>
    <t>QA-0256</t>
  </si>
  <si>
    <t>CQA-0250</t>
  </si>
  <si>
    <t>Speaking of timing, what are your thoughts on fasting? And then, of course, movement and exercise?</t>
  </si>
  <si>
    <t>The way I conceptualize the idea of fasting, obviously, this is one where we need more words. Right. Because the word fasting is so limited.</t>
  </si>
  <si>
    <t>504</t>
  </si>
  <si>
    <t>QA-0257</t>
  </si>
  <si>
    <t>CQA-0251</t>
  </si>
  <si>
    <t>What are some things to watch for that might signal a problem? And what are some fun things that one could do to explore and experiment?</t>
  </si>
  <si>
    <t>well, I mean, a lot of the things that you just naturally learned are the things that have been shown in data. And like you said, some of this data, it's like small studies, small groups of people. But, for instance, adding fat and fiber to meals has a significant and repeatable impact in populations on lowering glucose response.</t>
  </si>
  <si>
    <t>507</t>
  </si>
  <si>
    <t>QA-0260</t>
  </si>
  <si>
    <t>CQA-0252</t>
  </si>
  <si>
    <t>How quickly should blood glucose return toward baseline after eating?</t>
  </si>
  <si>
    <t>--It should be down by two hours. But from what I've actually seen in our, like, most insulin sensitive people, and also in research that looks at young, healthy populations, you should basically be spiking and coming down, spike about 45 minutes and come down hour and a half, 90 minutes to two hours.</t>
  </si>
  <si>
    <t>What is quickly?</t>
  </si>
  <si>
    <t>509</t>
  </si>
  <si>
    <t>hle_qna_0482</t>
  </si>
  <si>
    <t>CQA-0253</t>
  </si>
  <si>
    <t>Which foods can unexpectedly spike glucose, and how much do glycemic responses vary between individuals?</t>
  </si>
  <si>
    <t>And there was a phenomenal paper out of Israel from Cell about seven years ago called "Personalized nutrition by prediction of glycemic responses." It made big waves, but it basically showed that you and I could eat the same handful of blueberries and have totally different glycemic responses. So the idea of glycemic index as, like, a certain amount of food with a certain amount of glucose causes a certain glucose rise, it kind of debunked that. And that matters because repeated, sustained glycemic variability over time is not good for our health. We want to choose the foods or balance the foods that are going to keep us relatively more stable. So that's very helpful, just understanding your personal response to food.</t>
  </si>
  <si>
    <t>And so it's really helping with, what are the sneaky spikers and where's the biochemical individuality?</t>
  </si>
  <si>
    <t>511</t>
  </si>
  <si>
    <t>hle_qna_0484</t>
  </si>
  <si>
    <t>CQA-0254</t>
  </si>
  <si>
    <t>Which lifestyle strategies can reduce post-meal glucose spikes?</t>
  </si>
  <si>
    <t>Sleeping better, walking after meals, more resistance training, cold plunging, breath work that can actually serve to modulate the food environment to actually reduce the glucose spikes. And people find that all of those things can positively impact glucose spikes, especially the walks after meals. But it's been fascinating to see a lot of women, especially menopausal women in our community, who find that their glucose patterns are getting worse because estrogen's dropping, and that's gonna, you know, really take a hit on insulin sensitivity. They start resistance training, glucose comes kind of right back down. So because of the monitor, they can feel more confident in the intervention they've chosen to do to help with metabolism, and that kind of creates a virtuous cycle. So those are some of the big things.</t>
  </si>
  <si>
    <t>And then what are the lifestyle strategies you can use?</t>
  </si>
  <si>
    <t>hle_qna_0485</t>
  </si>
  <si>
    <t>CQA-0255</t>
  </si>
  <si>
    <t>I mean, are we moving past just blood glucose? And are there soon to be other things in these monitors?</t>
  </si>
  <si>
    <t>And now they're all, the latest gen of each of them are all Bluetooth now. So no more scanning, which is kind of nice. And the answer is yes.</t>
  </si>
  <si>
    <t>512</t>
  </si>
  <si>
    <t>QA-0263</t>
  </si>
  <si>
    <t>CQA-0256</t>
  </si>
  <si>
    <t>And what are your thoughts on nature — literally getting out-of-doors?</t>
  </si>
  <si>
    <t>So I think that mindset, and more broadly than mindset, I think, psychology and our relationship specifically with fear and control, I think they're probably the most under-recognized thing that is impacting the metabolic health crisis, the chronic disease epidemic. There has been data that's looked into this.</t>
  </si>
  <si>
    <t>514</t>
  </si>
  <si>
    <t>QA-0264</t>
  </si>
  <si>
    <t>CQA-0257</t>
  </si>
  <si>
    <t>And so I think a big part of the metabolic health conversation is how do we create a sense of safety in our bodies, no matter what is happening outside of our bodies?</t>
  </si>
  <si>
    <t>And this can come down to, every person's journey will be different for this, because the things that cause a sense of threat or fear for any two people are going to be different. And I think some of the main categories is one, unresolved childhood trauma, like, something that I think is getting a lot more talked about these days, but, like, what's embedded in our nervous system, these limiting beliefs and memories that are really wired, that create a sense of hypervigilance in us, sort of all the time. What's coming in through our devices, our phones, our computers, the media that we're exposed to, that's constantly giving a fear signal. And I think on a broader level, a big Western one that we don't talk about is literally like, existential fear of mortality. We have a very despiritualized, very uniquely death-fearing culture. Like you look at other cultures, Eastern, indigenous, the stoics, they all had intense curiosity about death. We talk about the cycles of life. There's this real engagement with it that we are so afraid of in the Western system, to the extent that our entire healthcare system actually, I think, you know, we've built it around, like, we're not gonna help you thrive. We're just gonna do whatever we can to make sure you don't die. Like, that's built in everywhere. And so we've got the devices, we've got the childhood trauma, we've got the fear of mortality. We have a very poor system of mental health care in the culture. And I think that through all these things, Americans are getting crushed, mindset-and psychology-wise. And that is a big, big trigger of our mitochondria, essentially diverting resources towards defense, threat, and alarm, rather than homeostasis, building repair. So, again, it comes back to taking really honest stock of what are the true fear triggers in our lives, across those and others, and creating a sense of safety in our minds and bodies, no matter what the external world looks like, which may mean putting boundaries up to the media, doing the therapy, doing the different modalities. What I believe and I talk about in the book, getting back to the question about nature, is one of the best things that we can do is actually literally just go outside. And it sounds so simple, but one of the most astonishing stats I literally found in researching this entire book was that the average American is spending 93.7% of their time indoors.</t>
  </si>
  <si>
    <t>514-515</t>
  </si>
  <si>
    <t>hle_qna_0490</t>
  </si>
  <si>
    <t>Useful Pairs Added from the Supplied CSV</t>
  </si>
  <si>
    <t>116 pairs were absent from, or not adequately represented in, the earlier workbook and passed the cleaning review. These include useful self-answered educational questions as well as additional interview exchanges.</t>
  </si>
  <si>
    <t>Cleaning and Deduplication Audit</t>
  </si>
  <si>
    <t>One audit decision is recorded for every source record. REMOVE means the pair was judged contextless, malformed, non-educational or inadequately aligned; DUPLICATE means another representation was retained. No source file was overwritten.</t>
  </si>
  <si>
    <t>Source</t>
  </si>
  <si>
    <t>Decision</t>
  </si>
  <si>
    <t>Reason</t>
  </si>
  <si>
    <t>Workbook</t>
  </si>
  <si>
    <t>KEEP</t>
  </si>
  <si>
    <t>Passed standalone-question review</t>
  </si>
  <si>
    <t>QA-0002</t>
  </si>
  <si>
    <t>REMOVE</t>
  </si>
  <si>
    <t>Manual review: contextless, malformed, conversational, or non-educational prompt; Generic follow-up lacks standalone meaning</t>
  </si>
  <si>
    <t>Tell me more.</t>
  </si>
  <si>
    <t>QA-0003</t>
  </si>
  <si>
    <t>Manual review: contextless, malformed, conversational, or non-educational prompt</t>
  </si>
  <si>
    <t>80 babies a month?</t>
  </si>
  <si>
    <t>61</t>
  </si>
  <si>
    <t>QA-0007</t>
  </si>
  <si>
    <t>Where does that fit into this picture, if at all, or is that completely separate?</t>
  </si>
  <si>
    <t>67</t>
  </si>
  <si>
    <t>QA-0008</t>
  </si>
  <si>
    <t>I heard a podcast where a true expert in this described these things." How do you think a physician would respond to that?</t>
  </si>
  <si>
    <t>68</t>
  </si>
  <si>
    <t>QA-0009</t>
  </si>
  <si>
    <t>Yeah, why isn't it just part of the standard exam?</t>
  </si>
  <si>
    <t>QA-0011</t>
  </si>
  <si>
    <t>For women specifically?</t>
  </si>
  <si>
    <t>71</t>
  </si>
  <si>
    <t>QA-0012</t>
  </si>
  <si>
    <t>What does a doctor need to hear in order to put someone in that category?</t>
  </si>
  <si>
    <t>QA-0018</t>
  </si>
  <si>
    <t>Is there another option?</t>
  </si>
  <si>
    <t>QA-0032</t>
  </si>
  <si>
    <t>And lately, what does that breath practice look like?</t>
  </si>
  <si>
    <t>QA-0035</t>
  </si>
  <si>
    <t>Generic follow-up lacks standalone meaning</t>
  </si>
  <si>
    <t>Could you elaborate?</t>
  </si>
  <si>
    <t>97</t>
  </si>
  <si>
    <t>QA-0038</t>
  </si>
  <si>
    <t>How does that work?</t>
  </si>
  <si>
    <t>103</t>
  </si>
  <si>
    <t>QA-0039</t>
  </si>
  <si>
    <t>And they probably move their lips a little less when they do that?</t>
  </si>
  <si>
    <t>104</t>
  </si>
  <si>
    <t>QA-0042</t>
  </si>
  <si>
    <t>You have these headphones?</t>
  </si>
  <si>
    <t>112</t>
  </si>
  <si>
    <t>QA-0043</t>
  </si>
  <si>
    <t>How do I know?</t>
  </si>
  <si>
    <t>QA-0044</t>
  </si>
  <si>
    <t>Manual review: contextless, malformed, conversational, or non-educational prompt; Too short to express a standalone information need</t>
  </si>
  <si>
    <t>They stomp?</t>
  </si>
  <si>
    <t>121</t>
  </si>
  <si>
    <t>QA-0045</t>
  </si>
  <si>
    <t>Are you about to tell me that our voices are also causing vibrations in the objects around us, and that we just can't detect them? Why are we not like the elephants?</t>
  </si>
  <si>
    <t>124</t>
  </si>
  <si>
    <t>QA-0046</t>
  </si>
  <si>
    <t>125</t>
  </si>
  <si>
    <t>QA-0047</t>
  </si>
  <si>
    <t>Is the inverse also true?</t>
  </si>
  <si>
    <t>146</t>
  </si>
  <si>
    <t>QA-0049</t>
  </si>
  <si>
    <t>QA-0050</t>
  </si>
  <si>
    <t>Like Gregorian chants?</t>
  </si>
  <si>
    <t>QA-0052</t>
  </si>
  <si>
    <t>156</t>
  </si>
  <si>
    <t>QA-0053</t>
  </si>
  <si>
    <t>Is it helpful? Is it adaptive?</t>
  </si>
  <si>
    <t>QA-0054</t>
  </si>
  <si>
    <t>I mean, where does that sit with you?</t>
  </si>
  <si>
    <t>162</t>
  </si>
  <si>
    <t>QA-0057</t>
  </si>
  <si>
    <t>Did you see that paper?</t>
  </si>
  <si>
    <t>173</t>
  </si>
  <si>
    <t>QA-0058</t>
  </si>
  <si>
    <t>What kind of chickens do you have?</t>
  </si>
  <si>
    <t>175</t>
  </si>
  <si>
    <t>QA-0059</t>
  </si>
  <si>
    <t>So, Bantam means little guys?</t>
  </si>
  <si>
    <t>QA-0060</t>
  </si>
  <si>
    <t>How big are the eggs?</t>
  </si>
  <si>
    <t>QA-0061</t>
  </si>
  <si>
    <t>Okay, how many does it take to make a decent-sized omelet?</t>
  </si>
  <si>
    <t>QA-0062</t>
  </si>
  <si>
    <t>Manual review: contextless, malformed, conversational, or non-educational prompt; No explicit question or interview prompt</t>
  </si>
  <si>
    <t>I started off by saying that, and now we have, and I'm so glad that you were the one to introduce it to us, because it's a fascinating aspect of how we work, and it's really the core mechanics of how we work. When we talk about thinking or working or focus, we're not just talking about vision or hearing. We're talking about their merge, so...</t>
  </si>
  <si>
    <t>189</t>
  </si>
  <si>
    <t>QA-0063</t>
  </si>
  <si>
    <t>How do we avoid it?</t>
  </si>
  <si>
    <t>193</t>
  </si>
  <si>
    <t>QA-0068</t>
  </si>
  <si>
    <t>Literally deafening?</t>
  </si>
  <si>
    <t>QA-0073</t>
  </si>
  <si>
    <t>How could that possibly be?</t>
  </si>
  <si>
    <t>220</t>
  </si>
  <si>
    <t>QA-0076</t>
  </si>
  <si>
    <t>Do those work as well?</t>
  </si>
  <si>
    <t>QA-0081</t>
  </si>
  <si>
    <t>Do we know where in the brain that occurs?</t>
  </si>
  <si>
    <t>QA-0082</t>
  </si>
  <si>
    <t>Is that how it works, or is there a direct link to unplugging some of the auditory input?</t>
  </si>
  <si>
    <t>230</t>
  </si>
  <si>
    <t>QA-0086</t>
  </si>
  <si>
    <t>What are your thoughts about this?</t>
  </si>
  <si>
    <t>239</t>
  </si>
  <si>
    <t>QA-0087</t>
  </si>
  <si>
    <t>He discovered that? Von Békésy discovered it?</t>
  </si>
  <si>
    <t>240</t>
  </si>
  <si>
    <t>QA-0090</t>
  </si>
  <si>
    <t>But you're up and back?</t>
  </si>
  <si>
    <t>QA-0091</t>
  </si>
  <si>
    <t>Is that right?</t>
  </si>
  <si>
    <t>QA-0092</t>
  </si>
  <si>
    <t>Before that, they were naked eyeballing it?</t>
  </si>
  <si>
    <t>QA-0094</t>
  </si>
  <si>
    <t>What is it in women?</t>
  </si>
  <si>
    <t>QA-0095</t>
  </si>
  <si>
    <t>For all ages?</t>
  </si>
  <si>
    <t>247</t>
  </si>
  <si>
    <t>QA-0096</t>
  </si>
  <si>
    <t>How common is Reye's syndrome?</t>
  </si>
  <si>
    <t>QA-0097</t>
  </si>
  <si>
    <t>Is there anything being done there? Is the toxicology being done?</t>
  </si>
  <si>
    <t>248</t>
  </si>
  <si>
    <t>QA-0098</t>
  </si>
  <si>
    <t>What are some good alternatives?</t>
  </si>
  <si>
    <t>251</t>
  </si>
  <si>
    <t>QA-0102</t>
  </si>
  <si>
    <t>Really? Why does it have to be so weird?</t>
  </si>
  <si>
    <t>263</t>
  </si>
  <si>
    <t>QA-0103</t>
  </si>
  <si>
    <t>Body fat?</t>
  </si>
  <si>
    <t>271</t>
  </si>
  <si>
    <t>QA-0105</t>
  </si>
  <si>
    <t>That's what this is? It's based on this?</t>
  </si>
  <si>
    <t>278</t>
  </si>
  <si>
    <t>QA-0107</t>
  </si>
  <si>
    <t>Does it require a caloric deficit?</t>
  </si>
  <si>
    <t>281</t>
  </si>
  <si>
    <t>QA-0109</t>
  </si>
  <si>
    <t>Were they training?</t>
  </si>
  <si>
    <t>QA-0110</t>
  </si>
  <si>
    <t>With men and women?</t>
  </si>
  <si>
    <t>284</t>
  </si>
  <si>
    <t>QA-0113</t>
  </si>
  <si>
    <t>That's rough, right?</t>
  </si>
  <si>
    <t>289</t>
  </si>
  <si>
    <t>QA-0114</t>
  </si>
  <si>
    <t>You take fish oil?</t>
  </si>
  <si>
    <t>292</t>
  </si>
  <si>
    <t>QA-0115</t>
  </si>
  <si>
    <t>And they're harder and harder to find. And talk about controversy, you get into this debate about whether different sources of salmon... It gets really messy. I'm sure there are great sources out there, but that's a whole discussion unto itself. I take fish oil; I also have for many years. I plan to continue doing it, and so I'm grateful to hear that you do as well, because you're the expert.</t>
  </si>
  <si>
    <t>QA-0116</t>
  </si>
  <si>
    <t>Oh, really? You have a sweet tooth?</t>
  </si>
  <si>
    <t>294</t>
  </si>
  <si>
    <t>QA-0117</t>
  </si>
  <si>
    <t>So, how do you contend with it?</t>
  </si>
  <si>
    <t>QA-0118</t>
  </si>
  <si>
    <t>To your coffee?</t>
  </si>
  <si>
    <t>QA-0119</t>
  </si>
  <si>
    <t>Oh, moka pot?</t>
  </si>
  <si>
    <t>QA-0120</t>
  </si>
  <si>
    <t>You do this in the morning before you train?</t>
  </si>
  <si>
    <t>295</t>
  </si>
  <si>
    <t>QA-0121</t>
  </si>
  <si>
    <t>Because it doesn't create the same satiety that the maple syrup does for you?</t>
  </si>
  <si>
    <t>297</t>
  </si>
  <si>
    <t>QA-0122</t>
  </si>
  <si>
    <t>On what sorts of metrics?</t>
  </si>
  <si>
    <t>QA-0124</t>
  </si>
  <si>
    <t>So, do you take collagen?</t>
  </si>
  <si>
    <t>QA-0126</t>
  </si>
  <si>
    <t>How much do you take?</t>
  </si>
  <si>
    <t>317</t>
  </si>
  <si>
    <t>QA-0127</t>
  </si>
  <si>
    <t>A double dose of the same one, or two different ones?</t>
  </si>
  <si>
    <t>318</t>
  </si>
  <si>
    <t>QA-0128</t>
  </si>
  <si>
    <t>You take them with meals?</t>
  </si>
  <si>
    <t>QA-0129</t>
  </si>
  <si>
    <t>In the early part of the day, presumably?</t>
  </si>
  <si>
    <t>QA-0130</t>
  </si>
  <si>
    <t>How many IU per day?</t>
  </si>
  <si>
    <t>319</t>
  </si>
  <si>
    <t>QA-0131</t>
  </si>
  <si>
    <t>Vitamin D, D3?</t>
  </si>
  <si>
    <t>QA-0132</t>
  </si>
  <si>
    <t>Does that get you over the one gram per day of EPA?</t>
  </si>
  <si>
    <t>320</t>
  </si>
  <si>
    <t>QA-0134</t>
  </si>
  <si>
    <t>Anything more esoteric than that?</t>
  </si>
  <si>
    <t>QA-0135</t>
  </si>
  <si>
    <t>How many days per week are you resistance training?</t>
  </si>
  <si>
    <t>QA-0137</t>
  </si>
  <si>
    <t>What do I like to train the most?</t>
  </si>
  <si>
    <t>323</t>
  </si>
  <si>
    <t>QA-0142</t>
  </si>
  <si>
    <t>He's now the president of Yale, right?</t>
  </si>
  <si>
    <t>341</t>
  </si>
  <si>
    <t>QA-0143</t>
  </si>
  <si>
    <t>Could it be that mindset effects are i- involved there?</t>
  </si>
  <si>
    <t>343</t>
  </si>
  <si>
    <t>QA-0148</t>
  </si>
  <si>
    <t>Manual review: contextless, malformed, conversational, or non-educational prompt; Promotional or source-discovery question</t>
  </si>
  <si>
    <t>Where can people find you, um, ask questions, find your papers, learn more?</t>
  </si>
  <si>
    <t>352</t>
  </si>
  <si>
    <t>QA-0157</t>
  </si>
  <si>
    <t>And why the vagus?</t>
  </si>
  <si>
    <t>QA-0158</t>
  </si>
  <si>
    <t>That's the reason?</t>
  </si>
  <si>
    <t>QA-0159</t>
  </si>
  <si>
    <t>You're not kidding?</t>
  </si>
  <si>
    <t>QA-0163</t>
  </si>
  <si>
    <t>Can I increase the stimulation? Is that how it would go?</t>
  </si>
  <si>
    <t>QA-0164</t>
  </si>
  <si>
    <t>Right there in real time?</t>
  </si>
  <si>
    <t>QA-0165</t>
  </si>
  <si>
    <t>And you're looking at their face?</t>
  </si>
  <si>
    <t>QA-0166</t>
  </si>
  <si>
    <t>QA-0168</t>
  </si>
  <si>
    <t>So their body can be still, but their mind is darting around?</t>
  </si>
  <si>
    <t>361</t>
  </si>
  <si>
    <t>QA-0169</t>
  </si>
  <si>
    <t>Or, they can be very hyperactive with their body?</t>
  </si>
  <si>
    <t>QA-0170</t>
  </si>
  <si>
    <t>How do you go about that?</t>
  </si>
  <si>
    <t>QA-0171</t>
  </si>
  <si>
    <t>It has to be done in a clinic, right?</t>
  </si>
  <si>
    <t>QA-0174</t>
  </si>
  <si>
    <t>Why would they work? Do we have any idea why that might be?</t>
  </si>
  <si>
    <t>364</t>
  </si>
  <si>
    <t>QA-0175</t>
  </si>
  <si>
    <t>Why would that work?</t>
  </si>
  <si>
    <t>365</t>
  </si>
  <si>
    <t>QA-0176</t>
  </si>
  <si>
    <t>And as you describe described that. That sounds a lot like what I understand to be the hallmark feature of really good psychoanalysis, that the relationship between patient and therapist hopefully evolves to the point where these kinds of tests can be run within the context of that relationship and then exported to other relations. Is that--</t>
  </si>
  <si>
    <t>366</t>
  </si>
  <si>
    <t>QA-0177</t>
  </si>
  <si>
    <t>And are you an optimist?</t>
  </si>
  <si>
    <t>QA-0178</t>
  </si>
  <si>
    <t>Is that something that that perhaps differs in terms of its impact and how well it works for men versus women?</t>
  </si>
  <si>
    <t>QA-0185</t>
  </si>
  <si>
    <t>What about carbohydrate?</t>
  </si>
  <si>
    <t>QA-0186</t>
  </si>
  <si>
    <t>Why is that?</t>
  </si>
  <si>
    <t>422</t>
  </si>
  <si>
    <t>QA-0190</t>
  </si>
  <si>
    <t>Is this things like SoulCycle as well?</t>
  </si>
  <si>
    <t>QA-0192</t>
  </si>
  <si>
    <t>So is that what you're talking about?</t>
  </si>
  <si>
    <t>QA-0195</t>
  </si>
  <si>
    <t>And what can we do to extinguish it? If in fact it's not true?</t>
  </si>
  <si>
    <t>432</t>
  </si>
  <si>
    <t>QA-0196</t>
  </si>
  <si>
    <t>What phases of the menstrual cycle are those?</t>
  </si>
  <si>
    <t>433</t>
  </si>
  <si>
    <t>QA-0197</t>
  </si>
  <si>
    <t>So we're being, let's for now, limit the conversation to that so that there isn't confusion. Share with us, if you will, your thoughts on these, how they impact any of the things that we're talking about, or anything else, for that matter.</t>
  </si>
  <si>
    <t>434</t>
  </si>
  <si>
    <t>QA-0201</t>
  </si>
  <si>
    <t>Can we talk about PCOS for a moment?</t>
  </si>
  <si>
    <t>QA-0204</t>
  </si>
  <si>
    <t>Is there a best time in cycle to do that blood test?</t>
  </si>
  <si>
    <t>QA-0207</t>
  </si>
  <si>
    <t>You know, taking that coffee in and just having a sip between sets? Can that offset some of that?</t>
  </si>
  <si>
    <t>QA-0209</t>
  </si>
  <si>
    <t>Are you on it now?</t>
  </si>
  <si>
    <t>442</t>
  </si>
  <si>
    <t>QA-0210</t>
  </si>
  <si>
    <t>What do you think? Do you recommend it for women?</t>
  </si>
  <si>
    <t>QA-0211</t>
  </si>
  <si>
    <t>444</t>
  </si>
  <si>
    <t>QA-0212</t>
  </si>
  <si>
    <t>Speaker labels are embedded in the extracted pair</t>
  </si>
  <si>
    <t>Is there anything else you want to add to that?</t>
  </si>
  <si>
    <t>445</t>
  </si>
  <si>
    <t>QA-0213</t>
  </si>
  <si>
    <t>So after a good weight training session, if one has the luxury of doing it, get into the sauna for...?</t>
  </si>
  <si>
    <t>446</t>
  </si>
  <si>
    <t>QA-0214</t>
  </si>
  <si>
    <t>For how long?</t>
  </si>
  <si>
    <t>QA-0216</t>
  </si>
  <si>
    <t>Do any come to mind? Is there anything else that kind of springs to mind?</t>
  </si>
  <si>
    <t>QA-0221</t>
  </si>
  <si>
    <t>Now, is there an official word on this? What are your recommendations?</t>
  </si>
  <si>
    <t>453</t>
  </si>
  <si>
    <t>QA-0225</t>
  </si>
  <si>
    <t>What? 10-15 seconds, repeat?</t>
  </si>
  <si>
    <t>QA-0229</t>
  </si>
  <si>
    <t>And many wins. Many, many wins. Thanks to you. And on and on. So just such a rich data set here, presented with such clarity and in an actionable way. On behalf of myself and everyone listening and watching, I just want to say thank you. I know you've come a very long way from the other side of the equator, not just to see us, but given that your time is so precious that you've come to visit us and share with us your knowledge, I just want to say a really deep, heartfelt thank you.</t>
  </si>
  <si>
    <t>462</t>
  </si>
  <si>
    <t>QA-0234</t>
  </si>
  <si>
    <t>Is it five? What are we talking?</t>
  </si>
  <si>
    <t>474</t>
  </si>
  <si>
    <t>QA-0235</t>
  </si>
  <si>
    <t>So these are three separate groups?</t>
  </si>
  <si>
    <t>476</t>
  </si>
  <si>
    <t>QA-0236</t>
  </si>
  <si>
    <t>QA-0239</t>
  </si>
  <si>
    <t>What are your thoughts about this in that study?</t>
  </si>
  <si>
    <t>480</t>
  </si>
  <si>
    <t>QA-0247</t>
  </si>
  <si>
    <t>Can we translate that into support for the gut microbiome?</t>
  </si>
  <si>
    <t>QA-0248</t>
  </si>
  <si>
    <t>You said not kombucha?</t>
  </si>
  <si>
    <t>QA-0253</t>
  </si>
  <si>
    <t>Is it expensive?</t>
  </si>
  <si>
    <t>QA-0254</t>
  </si>
  <si>
    <t>Does insurance cover it?</t>
  </si>
  <si>
    <t>QA-0258</t>
  </si>
  <si>
    <t>The one-meal-per-day thing is tough. I have friends like Lex Friedman that do the one meal per day. I end up eating so much food at that meal that I experience a lot of mechanical distress as typically later in the day. I think an eight-to- ten-hour window has worked well for me most days. I know as soon as we talk about intermittent fasting or time-restricted feeding, same thing, which is what we're talking about right now. I'm sure somebody's going to call up the… There's been a study that's been circulating about a massive increase in cardiovascular risk in people doing intermittent fasting. In particular, the six-hour feeding window. I just want to point out, worst study as...</t>
  </si>
  <si>
    <t>505</t>
  </si>
  <si>
    <t>QA-0259</t>
  </si>
  <si>
    <t>Is that possible? Does that make sense?</t>
  </si>
  <si>
    <t>QA-0261</t>
  </si>
  <si>
    <t>QA-0262</t>
  </si>
  <si>
    <t>But if this is after, sorry, after the last bite?</t>
  </si>
  <si>
    <t>CSV</t>
  </si>
  <si>
    <t>hle_qna_0001</t>
  </si>
  <si>
    <t>Are there contaminants?</t>
  </si>
  <si>
    <t>Passed standalone-question and answer review</t>
  </si>
  <si>
    <t>hle_qna_0004</t>
  </si>
  <si>
    <t>So what does this mean?</t>
  </si>
  <si>
    <t>hle_qna_0008</t>
  </si>
  <si>
    <t>Andrew, I've always said this, and I really mean it: "If every 20-year-old in this country would go through my office once at age 20, I would shut down these fertility clinics, because where do these patients end up?</t>
  </si>
  <si>
    <t>12-13</t>
  </si>
  <si>
    <t>hle_qna_0009</t>
  </si>
  <si>
    <t>Can you check my egg count?'" You know what the doctor told her, her gynecologist?</t>
  </si>
  <si>
    <t>13-14</t>
  </si>
  <si>
    <t>hle_qna_0010</t>
  </si>
  <si>
    <t>Should we either discard or think differently about the data that we see plotted out?</t>
  </si>
  <si>
    <t>13</t>
  </si>
  <si>
    <t>hle_qna_0012</t>
  </si>
  <si>
    <t>I listen to podcasts on PCOS, where doctors come, and whoever's interviewing them asks them, "So what do we do for PCOS?" And the answer is, "We give birth control." That's not true.</t>
  </si>
  <si>
    <t>hle_qna_0013</t>
  </si>
  <si>
    <t>What are those?</t>
  </si>
  <si>
    <t>hle_qna_0014</t>
  </si>
  <si>
    <t>You don't need all three?</t>
  </si>
  <si>
    <t>17</t>
  </si>
  <si>
    <t>hle_qna_0015</t>
  </si>
  <si>
    <t>I feel awful when I have this pizza." You know what they would tell her?</t>
  </si>
  <si>
    <t>hle_qna_0016</t>
  </si>
  <si>
    <t>What do they do?</t>
  </si>
  <si>
    <t>hle_qna_0017</t>
  </si>
  <si>
    <t>You want to find PCOS patients?</t>
  </si>
  <si>
    <t>hle_qna_0019</t>
  </si>
  <si>
    <t>I'm baffled. What is the reason for not doing it?</t>
  </si>
  <si>
    <t>18-19</t>
  </si>
  <si>
    <t>hle_qna_0020</t>
  </si>
  <si>
    <t>But for me, in my office, if you come to my office and you say you can't do an ultrasound, it's just like me grabbing your glasses right now and say, "Read." How can I diagnose you?</t>
  </si>
  <si>
    <t>19</t>
  </si>
  <si>
    <t>hle_qna_0022</t>
  </si>
  <si>
    <t>Do they go and laser their hair twice a year because they can't get rid of it?</t>
  </si>
  <si>
    <t>20</t>
  </si>
  <si>
    <t>hle_qna_0024</t>
  </si>
  <si>
    <t>But is it okay if I discuss the underlying pillars?</t>
  </si>
  <si>
    <t>22-23</t>
  </si>
  <si>
    <t>hle_qna_0026</t>
  </si>
  <si>
    <t>Nothing, but women are incredible. Aren't we incredible?</t>
  </si>
  <si>
    <t>23</t>
  </si>
  <si>
    <t>hle_qna_0027</t>
  </si>
  <si>
    <t>So is it lack of sufficient LH?</t>
  </si>
  <si>
    <t>24</t>
  </si>
  <si>
    <t>hle_qna_0028</t>
  </si>
  <si>
    <t>What is thought to disrupt the hypothalamic GnRH neurons?</t>
  </si>
  <si>
    <t>24-25</t>
  </si>
  <si>
    <t>hle_qna_0036</t>
  </si>
  <si>
    <t>They answer some questions?</t>
  </si>
  <si>
    <t>36</t>
  </si>
  <si>
    <t>hle_qna_0037</t>
  </si>
  <si>
    <t>When it comes to this insulin resistance, they can either do the metformin, but what I like to do, I like to start them on supplements that have inositol in it and vitamin D. Did you know that low vitamin D makes you insulin resistant?</t>
  </si>
  <si>
    <t>36-37</t>
  </si>
  <si>
    <t>hle_qna_0041</t>
  </si>
  <si>
    <t>Of body fat and muscle, or?</t>
  </si>
  <si>
    <t>39</t>
  </si>
  <si>
    <t>hle_qna_0042</t>
  </si>
  <si>
    <t>But you know what?</t>
  </si>
  <si>
    <t>hle_qna_0043</t>
  </si>
  <si>
    <t>Patients ask me, "Can I be on the supplement, on metformin, and on the GLP-1?" Yes.</t>
  </si>
  <si>
    <t>hle_qna_0044</t>
  </si>
  <si>
    <t>I had a friend of mine who called me and said her son drinks a lot. The first thing I asked is, "Can he tolerate microdosing of Ozempic?" Because it shuts down their cravings.</t>
  </si>
  <si>
    <t>40-41</t>
  </si>
  <si>
    <t>hle_qna_0046</t>
  </si>
  <si>
    <t>Wouldn't that be wonderful?</t>
  </si>
  <si>
    <t>43</t>
  </si>
  <si>
    <t>hle_qna_0047</t>
  </si>
  <si>
    <t>How are you going to do that?</t>
  </si>
  <si>
    <t>hle_qna_0048</t>
  </si>
  <si>
    <t>How can you do that in 10 minutes?</t>
  </si>
  <si>
    <t>hle_qna_0050</t>
  </si>
  <si>
    <t>And I've always said this, you're going to laugh, but you know what my dream is?</t>
  </si>
  <si>
    <t>45</t>
  </si>
  <si>
    <t>hle_qna_0053</t>
  </si>
  <si>
    <t>They would get bloated, anxious, depressed from the pain. Do you think majority of them would go undiagnosed?</t>
  </si>
  <si>
    <t>49-50</t>
  </si>
  <si>
    <t>hle_qna_0054</t>
  </si>
  <si>
    <t>Don't worry about it.' Then what?" I'm like, "So maybe going down the freeway, the next one will say, 'If you have endometriosis, check your egg.</t>
  </si>
  <si>
    <t>hle_qna_0056</t>
  </si>
  <si>
    <t>The first thing she said when I walked in, she said, "I ask you a favor." I said, "What?" She said, "Don't call me crazy.</t>
  </si>
  <si>
    <t>50</t>
  </si>
  <si>
    <t>hle_qna_0058</t>
  </si>
  <si>
    <t>Then you realize now a week after, the pain is still there, and eventually it turns into chronic pelvic pain. But these patients jump from doctor to doctor, doctor to doctor, until, A, they have chronic pelvic pain, and someone says, "Wait a minute, you have endometriosis," or, B, they can't get pregnant, and they end up where?</t>
  </si>
  <si>
    <t>52</t>
  </si>
  <si>
    <t>hle_qna_0059</t>
  </si>
  <si>
    <t>"Oh, it can't be that bad. Why are you being so weak?</t>
  </si>
  <si>
    <t>54-55</t>
  </si>
  <si>
    <t>hle_qna_0060</t>
  </si>
  <si>
    <t>There's no, like, a VEGF inhibitor or something of that sort?</t>
  </si>
  <si>
    <t>56</t>
  </si>
  <si>
    <t>hle_qna_0062</t>
  </si>
  <si>
    <t>DUPLICATE</t>
  </si>
  <si>
    <t>Exact normalized-question duplicate; QA-0001 retained</t>
  </si>
  <si>
    <t>hle_qna_0063</t>
  </si>
  <si>
    <t>Why do you think I want the President of the United States to give me that mic?</t>
  </si>
  <si>
    <t>hle_qna_0064</t>
  </si>
  <si>
    <t>hle_qna_0066</t>
  </si>
  <si>
    <t>What do I mean by that?</t>
  </si>
  <si>
    <t>62</t>
  </si>
  <si>
    <t>hle_qna_0067</t>
  </si>
  <si>
    <t>Near-duplicate of QA-0004; concise workbook representation retained</t>
  </si>
  <si>
    <t>They are sensitive to estrogen in the sense that they grow in response to estrogen. Does that mean that in the first half of the ovulatory cycle, the menstrual cycle, there's more pain at that time?</t>
  </si>
  <si>
    <t>63-64</t>
  </si>
  <si>
    <t>hle_qna_0068</t>
  </si>
  <si>
    <t>The other thing is, remember I told you stromal endometriosis, that doesn't have the glandular aspect of the tissue, it is missing the glandular aspect?</t>
  </si>
  <si>
    <t>64</t>
  </si>
  <si>
    <t>hle_qna_0069</t>
  </si>
  <si>
    <t>Near-duplicate of QA-0005; concise workbook representation retained</t>
  </si>
  <si>
    <t>And if women have the BRCA mutations, then that number goes way up. So, is there any indication that pregnancy before a given age, successful pregnancy, or maybe just pregnancy in general before a given age, is protective against PCOS and endometriosis?</t>
  </si>
  <si>
    <t>hle_qna_0070</t>
  </si>
  <si>
    <t>Near-duplicate of QA-0006; concise workbook representation retained</t>
  </si>
  <si>
    <t>You hear about this with gut issues. And then, on the other end of the spectrum, you often will hear, "Well, people are just sort of, like, they're just kind of fanatic about these terms, and then now people are paying attention to it." Do you think that postpartum depression is on the rise? And does it have any correlation with things like endometriosis?</t>
  </si>
  <si>
    <t>65-66</t>
  </si>
  <si>
    <t>hle_qna_0071</t>
  </si>
  <si>
    <t>I see my office, my waiting room is the waiting room of dismissed women in this country. So I have a skewed view, but it's so real, and it's so painful to watch that, you know?</t>
  </si>
  <si>
    <t>66-67</t>
  </si>
  <si>
    <t>hle_qna_0073</t>
  </si>
  <si>
    <t>"Here's what endometriosis is. I heard a podcast where a true expert in this described these things." How do you think a physician would respond to that?</t>
  </si>
  <si>
    <t>hle_qna_0074</t>
  </si>
  <si>
    <t>Do you know what that is?</t>
  </si>
  <si>
    <t>69</t>
  </si>
  <si>
    <t>hle_qna_0075</t>
  </si>
  <si>
    <t>Whatever, has he had fertility issues with his previous partner?</t>
  </si>
  <si>
    <t>hle_qna_0076</t>
  </si>
  <si>
    <t>Near-duplicate of QA-0010; concise workbook representation retained</t>
  </si>
  <si>
    <t>70-71</t>
  </si>
  <si>
    <t>hle_qna_0077</t>
  </si>
  <si>
    <t>hle_qna_0078</t>
  </si>
  <si>
    <t>71-72</t>
  </si>
  <si>
    <t>hle_qna_0079</t>
  </si>
  <si>
    <t>I was told that because I didn’t have a family history, or because I looked the way I did and I was so healthy, that I was very low risk, yet my number was 37% until I found a surgeon who was willing to do it. She did it, and the day before surgery, she was very annoyed with me, and she said, "Why are you doing it?" I’m like, "Well, I don’t want it..." I said the boarding-the-plane example.</t>
  </si>
  <si>
    <t>73</t>
  </si>
  <si>
    <t>hle_qna_0080</t>
  </si>
  <si>
    <t>Near-duplicate of QA-0013; concise workbook representation retained</t>
  </si>
  <si>
    <t>Okay, some excellent questions from the general public. This first one is, "Are there any non-invasive methods for the diagnosis of endometriosis, like tests within from the menstrual blood itself?"</t>
  </si>
  <si>
    <t>74-75</t>
  </si>
  <si>
    <t>hle_qna_0081</t>
  </si>
  <si>
    <t>Near-duplicate of QA-0015; concise workbook representation retained</t>
  </si>
  <si>
    <t>hle_qna_0082</t>
  </si>
  <si>
    <t>Near-duplicate of QA-0014; concise workbook representation retained</t>
  </si>
  <si>
    <t>hle_qna_0083</t>
  </si>
  <si>
    <t>Near-duplicate of QA-0016; concise workbook representation retained</t>
  </si>
  <si>
    <t>hle_qna_0084</t>
  </si>
  <si>
    <t>You go into a room, you're like, "Why did I come in here?" And a lot of that is because of the fluctuations in the hormones and the drop in the estrogen.</t>
  </si>
  <si>
    <t>hle_qna_0085</t>
  </si>
  <si>
    <t>Near-duplicate of QA-0017; concise workbook representation retained</t>
  </si>
  <si>
    <t>hle_qna_0087</t>
  </si>
  <si>
    <t>Near-duplicate of QA-0019; concise workbook representation retained</t>
  </si>
  <si>
    <t>hle_qna_0090</t>
  </si>
  <si>
    <t>Near-duplicate of QA-0020; concise workbook representation retained</t>
  </si>
  <si>
    <t>hle_qna_0091</t>
  </si>
  <si>
    <t>Near-duplicate of QA-0022; concise workbook representation retained</t>
  </si>
  <si>
    <t>hle_qna_0092</t>
  </si>
  <si>
    <t>Near-duplicate of QA-0021; concise workbook representation retained</t>
  </si>
  <si>
    <t>You already answered this earlier, but I think it's worth just briefly repeating. How does diet affect female hormone health?</t>
  </si>
  <si>
    <t>hle_qna_0093</t>
  </si>
  <si>
    <t>You're the person I call. Why don't we start off by just talking about what's involved in generating breath?</t>
  </si>
  <si>
    <t>hle_qna_0094</t>
  </si>
  <si>
    <t>Where does that activity originate?</t>
  </si>
  <si>
    <t>hle_qna_0095</t>
  </si>
  <si>
    <t>Near-duplicate of QA-0024; concise workbook representation retained</t>
  </si>
  <si>
    <t>hle_qna_0096</t>
  </si>
  <si>
    <t>Near-duplicate of QA-0025; concise workbook representation retained</t>
  </si>
  <si>
    <t>hle_qna_0098</t>
  </si>
  <si>
    <t>Near-duplicate of QA-0026; concise workbook representation retained</t>
  </si>
  <si>
    <t>85-86</t>
  </si>
  <si>
    <t>hle_qna_0099</t>
  </si>
  <si>
    <t>Through nose or mouth?</t>
  </si>
  <si>
    <t>86</t>
  </si>
  <si>
    <t>hle_qna_0100</t>
  </si>
  <si>
    <t>Near-duplicate of QA-0028; concise workbook representation retained</t>
  </si>
  <si>
    <t>But also, if we change our breathing, we, in some sense, can adjust our internal state. What is the relationship between brain state and breathing?</t>
  </si>
  <si>
    <t>hle_qna_0101</t>
  </si>
  <si>
    <t>Exact normalized-question duplicate; QA-0027 retained</t>
  </si>
  <si>
    <t>hle_qna_0102</t>
  </si>
  <si>
    <t>Near-duplicate of QA-0029; concise workbook representation retained</t>
  </si>
  <si>
    <t>89-91</t>
  </si>
  <si>
    <t>hle_qna_0103</t>
  </si>
  <si>
    <t>Near-duplicate of QA-0030; concise workbook representation retained</t>
  </si>
  <si>
    <t>91-92</t>
  </si>
  <si>
    <t>hle_qna_0104</t>
  </si>
  <si>
    <t>Manual review: contextless, malformed, conversational, or non-educational prompt; Answer is too short to support retrieval</t>
  </si>
  <si>
    <t>hle_qna_0105</t>
  </si>
  <si>
    <t>Near-duplicate of QA-0031; concise workbook representation retained</t>
  </si>
  <si>
    <t>hle_qna_0106</t>
  </si>
  <si>
    <t>hle_qna_0108</t>
  </si>
  <si>
    <t>Near-duplicate of QA-0034; concise workbook representation retained</t>
  </si>
  <si>
    <t>95-96</t>
  </si>
  <si>
    <t>hle_qna_0109</t>
  </si>
  <si>
    <t>And as I'm telling you this, I've used the word cat. What color cat are you thinking?</t>
  </si>
  <si>
    <t>hle_qna_0110</t>
  </si>
  <si>
    <t>hle_qna_0111</t>
  </si>
  <si>
    <t>Near-duplicate of QA-0036; concise workbook representation retained</t>
  </si>
  <si>
    <t>Like, the tea kettle is whistling, or we hear a knock on the door. We know where the door is, and we know where the tea kettle ought to be, but where do these things first collide?</t>
  </si>
  <si>
    <t>98-99</t>
  </si>
  <si>
    <t>hle_qna_0112</t>
  </si>
  <si>
    <t>Near-duplicate of QA-0037; concise workbook representation retained</t>
  </si>
  <si>
    <t>101-102</t>
  </si>
  <si>
    <t>hle_qna_0113</t>
  </si>
  <si>
    <t>hle_qna_0115</t>
  </si>
  <si>
    <t>hle_qna_0117</t>
  </si>
  <si>
    <t>Near-duplicate of QA-0040; concise workbook representation retained</t>
  </si>
  <si>
    <t>hle_qna_0118</t>
  </si>
  <si>
    <t>108-109</t>
  </si>
  <si>
    <t>hle_qna_0120</t>
  </si>
  <si>
    <t>Or you like it in your head?</t>
  </si>
  <si>
    <t>116</t>
  </si>
  <si>
    <t>hle_qna_0122</t>
  </si>
  <si>
    <t>hle_qna_0123</t>
  </si>
  <si>
    <t>That's cool. They stomp?</t>
  </si>
  <si>
    <t>hle_qna_0124</t>
  </si>
  <si>
    <t>It's totally wild. Are you about to tell me that our voices are also causing vibrations in the objects around us, and that we just can't detect them? Why are we not like the elephants?</t>
  </si>
  <si>
    <t>hle_qna_0126</t>
  </si>
  <si>
    <t>High-frequency movement tends to be high-frequency sound. So, how do you think about the relationship between frequency and emotion and resonant frequency?</t>
  </si>
  <si>
    <t>130</t>
  </si>
  <si>
    <t>hle_qna_0127</t>
  </si>
  <si>
    <t>So, can we go into the music realm to talk about this?</t>
  </si>
  <si>
    <t>hle_qna_0128</t>
  </si>
  <si>
    <t>hle_qna_0129</t>
  </si>
  <si>
    <t>I can hear a whisper from 25 feet away, and I wondered, "Is this what it's like to be a wolf?" That would be really cool.</t>
  </si>
  <si>
    <t>150</t>
  </si>
  <si>
    <t>hle_qna_0131</t>
  </si>
  <si>
    <t>hle_qna_0132</t>
  </si>
  <si>
    <t>Near-duplicate of QA-0048; concise workbook representation retained</t>
  </si>
  <si>
    <t>hle_qna_0133</t>
  </si>
  <si>
    <t>Maybe it's crazy, but who cares?</t>
  </si>
  <si>
    <t>153-154</t>
  </si>
  <si>
    <t>hle_qna_0134</t>
  </si>
  <si>
    <t>Like, to acknowledge, "Well, you know, I'd like such and such a thing, but I can see that there's a counterargument to that. How can I address that, or should I change my mind?"</t>
  </si>
  <si>
    <t>154-155</t>
  </si>
  <si>
    <t>hle_qna_0135</t>
  </si>
  <si>
    <t>Near-duplicate of QA-0051; concise workbook representation retained</t>
  </si>
  <si>
    <t>There's some great, you know, study-with-me channels online, where you sit there, and you work while they work. What are your thoughts on the use of sound as a way to change brain state?</t>
  </si>
  <si>
    <t>155-156</t>
  </si>
  <si>
    <t>hle_qna_0136</t>
  </si>
  <si>
    <t>hle_qna_0137</t>
  </si>
  <si>
    <t>Interesting. Is it helpful? Is it adaptive?</t>
  </si>
  <si>
    <t>156-157</t>
  </si>
  <si>
    <t>hle_qna_0138</t>
  </si>
  <si>
    <t>Do they really?</t>
  </si>
  <si>
    <t>157-158</t>
  </si>
  <si>
    <t>hle_qna_0139</t>
  </si>
  <si>
    <t>Isn't it hard?</t>
  </si>
  <si>
    <t>158-159</t>
  </si>
  <si>
    <t>hle_qna_0140</t>
  </si>
  <si>
    <t>Is that... I mean, where does that sit with you?</t>
  </si>
  <si>
    <t>hle_qna_0141</t>
  </si>
  <si>
    <t>So for example, if I'm working on a difficult piece of writing, I might get to the end of what I can achieve in one particular cafe, but if I go to another cafe, you know?</t>
  </si>
  <si>
    <t>162-164</t>
  </si>
  <si>
    <t>hle_qna_0142</t>
  </si>
  <si>
    <t>Near-duplicate of QA-0055; concise workbook representation retained</t>
  </si>
  <si>
    <t>hle_qna_0143</t>
  </si>
  <si>
    <t>I'd be remiss if I didn't ask about your experience as a musician. What instrument do you play?</t>
  </si>
  <si>
    <t>hle_qna_0144</t>
  </si>
  <si>
    <t>It eventually is going to emerge. He's not like, "Why can't I get this thing out?" And so, he's very much in flow with his own, you know, peaks and valleys and attention.</t>
  </si>
  <si>
    <t>hle_qna_0145</t>
  </si>
  <si>
    <t>Nice. When you're doing that, do you find that your attention is anchored for the duration of the performance or practice?</t>
  </si>
  <si>
    <t>172-173</t>
  </si>
  <si>
    <t>hle_qna_0146</t>
  </si>
  <si>
    <t>I remember singing that. But no, wait a second, but now I have to sing it again?" You know, and just kind of keeping track of where I'm at gets harder the second time through.</t>
  </si>
  <si>
    <t>hle_qna_0147</t>
  </si>
  <si>
    <t>Are they tasty?</t>
  </si>
  <si>
    <t>175-176</t>
  </si>
  <si>
    <t>hle_qna_0148</t>
  </si>
  <si>
    <t>hle_qna_0149</t>
  </si>
  <si>
    <t>hle_qna_0150</t>
  </si>
  <si>
    <t>hle_qna_0151</t>
  </si>
  <si>
    <t>You'll probably know it, but anyway. What kind of chickens do you have?</t>
  </si>
  <si>
    <t>hle_qna_0152</t>
  </si>
  <si>
    <t>Okay. So, when did you start raising chickens?</t>
  </si>
  <si>
    <t>176</t>
  </si>
  <si>
    <t>hle_qna_0153</t>
  </si>
  <si>
    <t>And I was like, "Isn't that what hypnosis is?" And she's like, "Yeah, I guess.</t>
  </si>
  <si>
    <t>178</t>
  </si>
  <si>
    <t>hle_qna_0154</t>
  </si>
  <si>
    <t>Starting from the beak?</t>
  </si>
  <si>
    <t>180-181</t>
  </si>
  <si>
    <t>hle_qna_0155</t>
  </si>
  <si>
    <t>You can't just put a line down and then bring the chicken over?</t>
  </si>
  <si>
    <t>hle_qna_0156</t>
  </si>
  <si>
    <t>So, maybe it has to be away from the beak towards the beak?</t>
  </si>
  <si>
    <t>181-182</t>
  </si>
  <si>
    <t>hle_qna_0157</t>
  </si>
  <si>
    <t>I'll give you an example that's not really about attention, but it's about, like, what's the best way for me to achieve a state of relaxation?</t>
  </si>
  <si>
    <t>183</t>
  </si>
  <si>
    <t>hle_qna_0159</t>
  </si>
  <si>
    <t>You can't get into your social media from a browser?</t>
  </si>
  <si>
    <t>187-188</t>
  </si>
  <si>
    <t>hle_qna_0161</t>
  </si>
  <si>
    <t>So, at the angstrom level?</t>
  </si>
  <si>
    <t>194-195</t>
  </si>
  <si>
    <t>hle_qna_0162</t>
  </si>
  <si>
    <t>Sub-angstrom?</t>
  </si>
  <si>
    <t>hle_qna_0163</t>
  </si>
  <si>
    <t>What matters is the scale. So, how much fluid do you think there is?</t>
  </si>
  <si>
    <t>194</t>
  </si>
  <si>
    <t>hle_qna_0164</t>
  </si>
  <si>
    <t>So what does that mean?</t>
  </si>
  <si>
    <t>195</t>
  </si>
  <si>
    <t>hle_qna_0165</t>
  </si>
  <si>
    <t>Near-duplicate of QA-0064; concise workbook representation retained</t>
  </si>
  <si>
    <t>And it all happens very, very fast. I think most people don't think about hearing that way, and so could you explain for us the elements within sound waves that create this incredible architecture that we call the perception of hearing?</t>
  </si>
  <si>
    <t>hle_qna_0166</t>
  </si>
  <si>
    <t>Near-duplicate of QA-0065; concise workbook representation retained</t>
  </si>
  <si>
    <t>hle_qna_0167</t>
  </si>
  <si>
    <t>Near-duplicate of QA-0066; concise workbook representation retained</t>
  </si>
  <si>
    <t>hle_qna_0171</t>
  </si>
  <si>
    <t>And how do we know that?</t>
  </si>
  <si>
    <t>204</t>
  </si>
  <si>
    <t>hle_qna_0174</t>
  </si>
  <si>
    <t>hle_qna_0177</t>
  </si>
  <si>
    <t>Near-duplicate of QA-0070; concise workbook representation retained</t>
  </si>
  <si>
    <t>Either much less than you thought or much more. Actually, that reminds me to ask, is there any evidence that taking magnesium can help slow, reverse, or prevent tinnitus?</t>
  </si>
  <si>
    <t>210-211</t>
  </si>
  <si>
    <t>hle_qna_0178</t>
  </si>
  <si>
    <t>Near-duplicate of QA-0069; concise workbook representation retained</t>
  </si>
  <si>
    <t>hle_qna_0180</t>
  </si>
  <si>
    <t>Near-duplicate of QA-0071; concise workbook representation retained</t>
  </si>
  <si>
    <t>Which forms of magnesium. So, for people that have tinnitus or that don't want to get tinnitus, do you see any harm in them, kind of emphasizing magnesium intake through food and/or supplementation?</t>
  </si>
  <si>
    <t>hle_qna_0181</t>
  </si>
  <si>
    <t>That episode came out and, he said, you know, we have to stop talking about blood glucose responses, you know?</t>
  </si>
  <si>
    <t>215</t>
  </si>
  <si>
    <t>hle_qna_0182</t>
  </si>
  <si>
    <t>Near-duplicate of QA-0072; concise workbook representation retained</t>
  </si>
  <si>
    <t>Perhaps magnesium, if they choose through diet or supplementation, or both. But is there any indication that people can take something, or is it really the case that they need to go see a proper auditory neurophysiologist or clinician like you, and get treated for tinnitus?</t>
  </si>
  <si>
    <t>216-217</t>
  </si>
  <si>
    <t>hle_qna_0183</t>
  </si>
  <si>
    <t>It's like when people say color blindness, I would say, “Well, like, which kind?” I mean, there's so many types of color blindness.</t>
  </si>
  <si>
    <t>hle_qna_0184</t>
  </si>
  <si>
    <t>And why do I say that?</t>
  </si>
  <si>
    <t>219</t>
  </si>
  <si>
    <t>hle_qna_0185</t>
  </si>
  <si>
    <t>hle_qna_0186</t>
  </si>
  <si>
    <t>Near-duplicate of QA-0074; concise workbook representation retained</t>
  </si>
  <si>
    <t>hle_qna_0187</t>
  </si>
  <si>
    <t>Near-duplicate of QA-0075; concise workbook representation retained</t>
  </si>
  <si>
    <t>Not AirPod, but one headphone dangle out. Is there any detriment to that?</t>
  </si>
  <si>
    <t>221-222</t>
  </si>
  <si>
    <t>hle_qna_0188</t>
  </si>
  <si>
    <t>hle_qna_0190</t>
  </si>
  <si>
    <t>Near-duplicate of QA-0077; concise workbook representation retained</t>
  </si>
  <si>
    <t>hle_qna_0191</t>
  </si>
  <si>
    <t>Near-duplicate of QA-0078; concise workbook representation retained</t>
  </si>
  <si>
    <t>They have more opportunities for it. What are the thresholds? And the reason I ask is, I mean, can they hear a whisper? What can they hear?</t>
  </si>
  <si>
    <t>hle_qna_0192</t>
  </si>
  <si>
    <t>Near-duplicate of QA-0079; concise workbook representation retained</t>
  </si>
  <si>
    <t>hle_qna_0193</t>
  </si>
  <si>
    <t>Are we subjecting them to hearing damage?</t>
  </si>
  <si>
    <t>hle_qna_0194</t>
  </si>
  <si>
    <t>Near-duplicate of QA-0080; concise workbook representation retained</t>
  </si>
  <si>
    <t>hle_qna_0196</t>
  </si>
  <si>
    <t>230-231</t>
  </si>
  <si>
    <t>hle_qna_0197</t>
  </si>
  <si>
    <t>Near-duplicate of QA-0083; concise workbook representation retained</t>
  </si>
  <si>
    <t>231-232</t>
  </si>
  <si>
    <t>hle_qna_0198</t>
  </si>
  <si>
    <t>Near-duplicate of QA-0084; concise workbook representation retained</t>
  </si>
  <si>
    <t>But I can speak a little bit higher, I can go a little bit lower. So, how does that work in real time?</t>
  </si>
  <si>
    <t>hle_qna_0199</t>
  </si>
  <si>
    <t>But because he was such an astute physician, where he listened to a patient, because before him, when patients like that would come to our office, I mean, what would be your knee-jerk reflex?</t>
  </si>
  <si>
    <t>235</t>
  </si>
  <si>
    <t>hle_qna_0200</t>
  </si>
  <si>
    <t>“Come on.” Exactly. “Really?”</t>
  </si>
  <si>
    <t>hle_qna_0202</t>
  </si>
  <si>
    <t>Near-duplicate of QA-0085; concise workbook representation retained</t>
  </si>
  <si>
    <t>Over time, as we grew bigger, thicker brains, it just went deeper and deeper, and you need to do that. So did the auditory system and the vestibular system start from the same origin and split?</t>
  </si>
  <si>
    <t>237-238</t>
  </si>
  <si>
    <t>hle_qna_0203</t>
  </si>
  <si>
    <t>239-240</t>
  </si>
  <si>
    <t>hle_qna_0204</t>
  </si>
  <si>
    <t>Extracellular?</t>
  </si>
  <si>
    <t>hle_qna_0205</t>
  </si>
  <si>
    <t>240-241</t>
  </si>
  <si>
    <t>hle_qna_0206</t>
  </si>
  <si>
    <t>Near-duplicate of QA-0088; concise workbook representation retained</t>
  </si>
  <si>
    <t>hle_qna_0207</t>
  </si>
  <si>
    <t>244-245</t>
  </si>
  <si>
    <t>hle_qna_0208</t>
  </si>
  <si>
    <t>hle_qna_0209</t>
  </si>
  <si>
    <t>Near-duplicate of QA-0089; concise workbook representation retained</t>
  </si>
  <si>
    <t>Does insurance cover the cochlear implant?</t>
  </si>
  <si>
    <t>hle_qna_0210</t>
  </si>
  <si>
    <t>hle_qna_0211</t>
  </si>
  <si>
    <t>Near-duplicate of QA-0093; concise workbook representation retained</t>
  </si>
  <si>
    <t>I want my surgeon using a microscope or magnifier of some sort. Do men or women, on average, these are always averages, hear better? Meaning with more sensitivity, can detect either different frequencies or thresholds of sounds as compared to the other group?</t>
  </si>
  <si>
    <t>hle_qna_0212</t>
  </si>
  <si>
    <t>hle_qna_0213</t>
  </si>
  <si>
    <t>Now, does that have to do with environmental exposure?</t>
  </si>
  <si>
    <t>246</t>
  </si>
  <si>
    <t>hle_qna_0214</t>
  </si>
  <si>
    <t>Don't they warn against kids taking aspirin for this very reason?</t>
  </si>
  <si>
    <t>247-248</t>
  </si>
  <si>
    <t>hle_qna_0215</t>
  </si>
  <si>
    <t>hle_qna_0216</t>
  </si>
  <si>
    <t>hle_qna_0217</t>
  </si>
  <si>
    <t>Do we know... Is there anything being done there? Is the toxicology being done?</t>
  </si>
  <si>
    <t>248-249</t>
  </si>
  <si>
    <t>hle_qna_0219</t>
  </si>
  <si>
    <t>hle_qna_0220</t>
  </si>
  <si>
    <t>And can we do it in a very precise fashion so that we turn them on when needed and turn them off afterwards?</t>
  </si>
  <si>
    <t>252</t>
  </si>
  <si>
    <t>hle_qna_0221</t>
  </si>
  <si>
    <t>So, how do you reconstruct that?</t>
  </si>
  <si>
    <t>253-254</t>
  </si>
  <si>
    <t>hle_qna_0222</t>
  </si>
  <si>
    <t>Near-duplicate of QA-0099; concise workbook representation retained</t>
  </si>
  <si>
    <t>And here, I might even just go a step further and ask you if you're willing... I'm sure you do all the things to take care of your auditory system, and I'm sure you tell the people in your life to take care of their auditory system, but what sorts of things do you do to enrich your auditory system?</t>
  </si>
  <si>
    <t>hle_qna_0223</t>
  </si>
  <si>
    <t>Near-duplicate of QA-0100; concise workbook representation retained</t>
  </si>
  <si>
    <t>So I imagine pretty soon, text messages will be... Your son or daughter or spouse can go, “Hey, how's it going?” And they're like, “Hey, can you pick up some milk or eggs at the store after? What time are you going to be home?” And they will have written that or spoken that, but it will look as if it's a video of them. Do you think that's going to be better than where we're at now?</t>
  </si>
  <si>
    <t>hle_qna_0224</t>
  </si>
  <si>
    <t>And one of the graphs talked about, how long does it take for something to double the economy?</t>
  </si>
  <si>
    <t>257</t>
  </si>
  <si>
    <t>hle_qna_0225</t>
  </si>
  <si>
    <t>Near-duplicate of QA-0101; concise workbook representation retained</t>
  </si>
  <si>
    <t>And the simple question is, what constitutes a meal? If I eat 30 grams of protein, and an hour later, I eat 30 grams of protein, did I just eat two meals? Can I assimilate 30 grams in each? And can I assimilate more than 30 grams of protein under certain circumstances? What's the deal with this protein assimilation thing?</t>
  </si>
  <si>
    <t>260-261</t>
  </si>
  <si>
    <t>hle_qna_0228</t>
  </si>
  <si>
    <t>And then, as just kind of a generic example of a meal that doesn't follow resistance training in the window of two hours or so, how much protein should be consumed at these two different meals?</t>
  </si>
  <si>
    <t>hle_qna_0229</t>
  </si>
  <si>
    <t>263-264</t>
  </si>
  <si>
    <t>hle_qna_0231</t>
  </si>
  <si>
    <t>Even if it's only distributed across two meals?</t>
  </si>
  <si>
    <t>265</t>
  </si>
  <si>
    <t>hle_qna_0232</t>
  </si>
  <si>
    <t>And then there's levels to it. What population are we looking at? Are we looking at guys who are trying to win a national competition in bodybuilding, for example?</t>
  </si>
  <si>
    <t>hle_qna_0234</t>
  </si>
  <si>
    <t>That's very reassuring to me, because I have a busy schedule, as do many people, and sometimes I'm a little hungry before I train and I'll want a scoop of protein powder, and I'll think, "Oh, is it better?" We'll talk about whether or not it's better to train fasted, for all sorts of reasons.</t>
  </si>
  <si>
    <t>267</t>
  </si>
  <si>
    <t>hle_qna_0236</t>
  </si>
  <si>
    <t>hle_qna_0238</t>
  </si>
  <si>
    <t>And can I add this?</t>
  </si>
  <si>
    <t>273</t>
  </si>
  <si>
    <t>hle_qna_0239</t>
  </si>
  <si>
    <t>Near-duplicate of QA-0104; concise workbook representation retained</t>
  </si>
  <si>
    <t>hle_qna_0243</t>
  </si>
  <si>
    <t>With training?</t>
  </si>
  <si>
    <t>277</t>
  </si>
  <si>
    <t>hle_qna_0244</t>
  </si>
  <si>
    <t>I haven't seen that. That's what this is? It's based on this?</t>
  </si>
  <si>
    <t>hle_qna_0245</t>
  </si>
  <si>
    <t>Mycoprotein?</t>
  </si>
  <si>
    <t>hle_qna_0246</t>
  </si>
  <si>
    <t>279-280</t>
  </si>
  <si>
    <t>hle_qna_0247</t>
  </si>
  <si>
    <t>hle_qna_0248</t>
  </si>
  <si>
    <t>Near-duplicate of QA-0108; concise workbook representation retained</t>
  </si>
  <si>
    <t>282-283</t>
  </si>
  <si>
    <t>hle_qna_0249</t>
  </si>
  <si>
    <t>How much more than maintenance should somebody ingest?</t>
  </si>
  <si>
    <t>hle_qna_0250</t>
  </si>
  <si>
    <t>hle_qna_0252</t>
  </si>
  <si>
    <t>Near-duplicate of QA-0112; concise workbook representation retained</t>
  </si>
  <si>
    <t>... meaning you're getting exercise, and you're not exceeding your daily caloric intake. Are starches inherently bad?</t>
  </si>
  <si>
    <t>hle_qna_0253</t>
  </si>
  <si>
    <t>What you want?</t>
  </si>
  <si>
    <t>288-289</t>
  </si>
  <si>
    <t>hle_qna_0254</t>
  </si>
  <si>
    <t>Do you supplement with those personally?</t>
  </si>
  <si>
    <t>hle_qna_0255</t>
  </si>
  <si>
    <t>hle_qna_0257</t>
  </si>
  <si>
    <t>And you have a sweet tooth and a savory tooth. So, how do you contend with it?</t>
  </si>
  <si>
    <t>hle_qna_0258</t>
  </si>
  <si>
    <t>294-295</t>
  </si>
  <si>
    <t>hle_qna_0259</t>
  </si>
  <si>
    <t>hle_qna_0260</t>
  </si>
  <si>
    <t>It's a piece of hardware?</t>
  </si>
  <si>
    <t>hle_qna_0261</t>
  </si>
  <si>
    <t>295-296</t>
  </si>
  <si>
    <t>hle_qna_0262</t>
  </si>
  <si>
    <t>hle_qna_0263</t>
  </si>
  <si>
    <t>And you know what?</t>
  </si>
  <si>
    <t>300</t>
  </si>
  <si>
    <t>hle_qna_0265</t>
  </si>
  <si>
    <t>301-302</t>
  </si>
  <si>
    <t>hle_qna_0266</t>
  </si>
  <si>
    <t>Yeah. About putting that on the label?</t>
  </si>
  <si>
    <t>302</t>
  </si>
  <si>
    <t>hle_qna_0268</t>
  </si>
  <si>
    <t>And so, everybody, or around nine out of ten people, immediately will say, "Ah, okay, you want to know what seed oil?</t>
  </si>
  <si>
    <t>307</t>
  </si>
  <si>
    <t>hle_qna_0269</t>
  </si>
  <si>
    <t>Near-duplicate of QA-0123; concise workbook representation retained</t>
  </si>
  <si>
    <t>313-314</t>
  </si>
  <si>
    <t>hle_qna_0270</t>
  </si>
  <si>
    <t>Near-duplicate of QA-0125; concise workbook representation retained</t>
  </si>
  <si>
    <t>He's 53 years old; you've got nice skin. Do you take collagen? And what are your thoughts about people who want to take collagen, specifically to improve skin appearance and for no other reason?</t>
  </si>
  <si>
    <t>315-317</t>
  </si>
  <si>
    <t>hle_qna_0271</t>
  </si>
  <si>
    <t>And so from a very kind of, no-brainer, troglodytic level, what is everybody's issue with providing the raw materials to the body that it can use to build these tissues?</t>
  </si>
  <si>
    <t>316</t>
  </si>
  <si>
    <t>hle_qna_0272</t>
  </si>
  <si>
    <t>hle_qna_0273</t>
  </si>
  <si>
    <t>hle_qna_0274</t>
  </si>
  <si>
    <t>318-319</t>
  </si>
  <si>
    <t>hle_qna_0275</t>
  </si>
  <si>
    <t>Okay. So, a good quality multivitamin?</t>
  </si>
  <si>
    <t>hle_qna_0276</t>
  </si>
  <si>
    <t>Who do you know that eats this pristine diet that just nails all of the micronutrients in optimal amounts?</t>
  </si>
  <si>
    <t>hle_qna_0277</t>
  </si>
  <si>
    <t>Especially you'll need that. Vitamin D, D3?</t>
  </si>
  <si>
    <t>319-320</t>
  </si>
  <si>
    <t>hle_qna_0278</t>
  </si>
  <si>
    <t>hle_qna_0279</t>
  </si>
  <si>
    <t>Which form of magnesium do you emphasize?</t>
  </si>
  <si>
    <t>320-321</t>
  </si>
  <si>
    <t>hle_qna_0280</t>
  </si>
  <si>
    <t>The regular hierarchy of evidence is one way, but I think at the very tip is, how do you respond individually to protocol?</t>
  </si>
  <si>
    <t>hle_qna_0281</t>
  </si>
  <si>
    <t>And do you do cardio regularly?</t>
  </si>
  <si>
    <t>321-322</t>
  </si>
  <si>
    <t>hle_qna_0282</t>
  </si>
  <si>
    <t>hle_qna_0283</t>
  </si>
  <si>
    <t>hle_qna_0284</t>
  </si>
  <si>
    <t>hle_qna_0285</t>
  </si>
  <si>
    <t>Near-duplicate of QA-0136; concise workbook representation retained</t>
  </si>
  <si>
    <t>hle_qna_0286</t>
  </si>
  <si>
    <t>hle_qna_0287</t>
  </si>
  <si>
    <t>And do you train your female clients this way?</t>
  </si>
  <si>
    <t>325</t>
  </si>
  <si>
    <t>hle_qna_0288</t>
  </si>
  <si>
    <t>hle_qna_0289</t>
  </si>
  <si>
    <t>And our question was, does orienting people to different mindsets change how they respond to stress?</t>
  </si>
  <si>
    <t>hle_qna_0291</t>
  </si>
  <si>
    <t>Manual review: contextless, malformed, conversational, or non-educational prompt; Speaker labels are embedded in the extracted pair</t>
  </si>
  <si>
    <t>And we have more evidence on placebo effects than we have for any other drug-[Andrew Huberman] Really? [Alia Crum]... because of-[Andrew Huberman] That's interesting [Alia Crum]... because of the clinical-[Andrew Huberman] Mm-hmm [Alia Crum]... trial process in which all new drugs and medication are... medications are required to outperform a placebo effect.</t>
  </si>
  <si>
    <t>hle_qna_0292</t>
  </si>
  <si>
    <t>But everything in this list is directed towards answering the question, what can I eat, what can I ingest by way of food and/or food supplement that can support brain function in the short term and in the long term?</t>
  </si>
  <si>
    <t>hle_qna_0293</t>
  </si>
  <si>
    <t>Could it be that mindset effects are i-involved there? [Alia Crum] It does matter what it is, and it matters what you think about that diet and what others around you in our culture think about that diet because those social contexts inform our mindsets.</t>
  </si>
  <si>
    <t>hle_qna_0294</t>
  </si>
  <si>
    <t>Could you define for us what is a mindset and what sort of purpose does it serve? [Alia Crum] We define mindsets as core beliefs or assumptions that we have about a domain or category of things that orient us to a particular set of expectations, explanations, and goals.</t>
  </si>
  <si>
    <t>hle_qna_0295</t>
  </si>
  <si>
    <t>Did you know it could do that?</t>
  </si>
  <si>
    <t>hle_qna_0296</t>
  </si>
  <si>
    <t>Do you view side effects as, you know, a sign that the treatment is, is harmful, or do you view side effects as a sign that the treatment is working?</t>
  </si>
  <si>
    <t>hle_qna_0297</t>
  </si>
  <si>
    <t>Do you view stress as enhancing, good for you, or do you view it as debilitating and bad for you?</t>
  </si>
  <si>
    <t>hle_qna_0298</t>
  </si>
  <si>
    <t>Find more useful, adaptive, and empowering mindsets and, and live by those. [Andrew Huberman] What are the mindsets that you try and adopt, uh, on a regular basis? [Alia Crum] The guiding light for me has been [Alia Crum] an undercurrent of understanding that our mindsets matter.</t>
  </si>
  <si>
    <t>hle_qna_0299</t>
  </si>
  <si>
    <t>How do we work with it?</t>
  </si>
  <si>
    <t>hle_qna_0300</t>
  </si>
  <si>
    <t>How long will this take?</t>
  </si>
  <si>
    <t>hle_qna_0302</t>
  </si>
  <si>
    <t>Like placebo effects, think you're healthy, you'll be healthy, you know?</t>
  </si>
  <si>
    <t>hle_qna_0305</t>
  </si>
  <si>
    <t>Peter Salovey had done a lot of work on really coining the term emotional intelligence, studying that. [Andrew Huberman] He's now the president of Yale, right? [Alia Crum] He's now the president of Yale. [Andrew Huberman] Okay. [Alia Crum] Yes. [Andrew Huberman] So he's done well. [Alia Crum] He's-he's done well for himself-[Andrew Huberman] Yeah [Alia Crum]... and for the university and society.</t>
  </si>
  <si>
    <t>hle_qna_0308</t>
  </si>
  <si>
    <t>So if you're in the interest of maintaining or losing weight, what's the best mindset to be in?</t>
  </si>
  <si>
    <t>hle_qna_0309</t>
  </si>
  <si>
    <t>So the first step is to decouple that and to realize that stress is a neutral, right? [Alia Crum] Yet to be determined effect of experiencing or anticipating adversity in your goal-related efforts.</t>
  </si>
  <si>
    <t>hle_qna_0315</t>
  </si>
  <si>
    <t>Manual review: contextless, malformed, conversational, or non-educational prompt; Promotional or source-discovery question; Speaker labels are embedded in the extracted pair</t>
  </si>
  <si>
    <t>Where can people find you, um, ask questions, find your papers, learn more? [Alia Crum] Yeah.</t>
  </si>
  <si>
    <t>hle_qna_0316</t>
  </si>
  <si>
    <t>Why would they want to do that?</t>
  </si>
  <si>
    <t>hle_qna_0317</t>
  </si>
  <si>
    <t>Near-duplicate of QA-0150; concise workbook representation retained</t>
  </si>
  <si>
    <t>353-354</t>
  </si>
  <si>
    <t>hle_qna_0318</t>
  </si>
  <si>
    <t>Near-duplicate of QA-0149; concise workbook representation retained</t>
  </si>
  <si>
    <t>hle_qna_0319</t>
  </si>
  <si>
    <t>Near-duplicate of QA-0153; concise workbook representation retained</t>
  </si>
  <si>
    <t>But as far as I understand, we don't have any way of comparing that in a real objective sense. So how, as a psychiatrist, when your job is to use words to diagnose words of the patient, to diagnose, do you maneuver around that? And what is this landscape that we call feelings or emotions?</t>
  </si>
  <si>
    <t>354-355</t>
  </si>
  <si>
    <t>hle_qna_0320</t>
  </si>
  <si>
    <t>Near-duplicate of QA-0151; concise workbook representation retained</t>
  </si>
  <si>
    <t>hle_qna_0321</t>
  </si>
  <si>
    <t>Near-duplicate of QA-0152; concise workbook representation retained</t>
  </si>
  <si>
    <t>hle_qna_0322</t>
  </si>
  <si>
    <t>Near-duplicate of QA-0154; concise workbook representation retained</t>
  </si>
  <si>
    <t>Are there any very good treatments for psychiatric disease? Meaning are there currently any pills, potions, forms of communication that reliably work every time or work in most patients? And could you give a couple of examples of great successes of psychiatry if they exist?</t>
  </si>
  <si>
    <t>355-356</t>
  </si>
  <si>
    <t>hle_qna_0323</t>
  </si>
  <si>
    <t>How much planning are you doing for the future?</t>
  </si>
  <si>
    <t>hle_qna_0324</t>
  </si>
  <si>
    <t>What exactly do they mean by that?</t>
  </si>
  <si>
    <t>hle_qna_0325</t>
  </si>
  <si>
    <t>Maybe you could just tell us what you think. What is the bento box of the perfect cure?</t>
  </si>
  <si>
    <t>356-357</t>
  </si>
  <si>
    <t>hle_qna_0326</t>
  </si>
  <si>
    <t>Near-duplicate of QA-0156; concise workbook representation retained</t>
  </si>
  <si>
    <t>But as I understand it, channel opsins and their related technologies, in principle, would allow you to turn on or off the specific regions of the brain that lead to depressive symptoms, or maybe you turn up a happiness circuit or a positive anticipation circuit. Where are we at now in terms of bringing this technology to the nervous system?</t>
  </si>
  <si>
    <t>357-358</t>
  </si>
  <si>
    <t>hle_qna_0327</t>
  </si>
  <si>
    <t>Near-duplicate of QA-0160; concise workbook representation retained</t>
  </si>
  <si>
    <t>hle_qna_0328</t>
  </si>
  <si>
    <t>Near-duplicate of QA-0161; concise workbook representation retained</t>
  </si>
  <si>
    <t>hle_qna_0329</t>
  </si>
  <si>
    <t>Near-duplicate of QA-0162; concise workbook representation retained</t>
  </si>
  <si>
    <t>Yeah, I see. How do you think it's working when it does work? Is it triggering the activation of neurons that release more serotonin or dopamine?</t>
  </si>
  <si>
    <t>358-359</t>
  </si>
  <si>
    <t>hle_qna_0330</t>
  </si>
  <si>
    <t>And then, I ramp it up. Is that how it would go?</t>
  </si>
  <si>
    <t>hle_qna_0333</t>
  </si>
  <si>
    <t>hle_qna_0334</t>
  </si>
  <si>
    <t>Near-duplicate of QA-0167; concise workbook representation retained</t>
  </si>
  <si>
    <t>I have the hunch that one reason I get asked so often is that people are feeling really distracted and challenged in funneling their attention and their behavior, and there are a number of reasons for that, of course. But what is true ADHD? And what does it look like? What can be done for it? And what, if any, role for channel opsins or these downstream technologies that you're developing? What do they--what do they offer for people that suffer from ADHD or have a family member that suffers from ADHD?</t>
  </si>
  <si>
    <t>360-361</t>
  </si>
  <si>
    <t>hle_qna_0335</t>
  </si>
  <si>
    <t>And so I can get a sense, is there a--am I in a still in a safe side effect regime?</t>
  </si>
  <si>
    <t>hle_qna_0337</t>
  </si>
  <si>
    <t>hle_qna_0338</t>
  </si>
  <si>
    <t>You're trying to structure your thoughts in that time?</t>
  </si>
  <si>
    <t>361-362</t>
  </si>
  <si>
    <t>hle_qna_0339</t>
  </si>
  <si>
    <t>Near-duplicate of QA-0172; concise workbook representation retained</t>
  </si>
  <si>
    <t>And these days, with the phone and all these email, et cetera, I wonder and I empathize a bit when I hear people saying like, I think I might have ADHD or ADD. Do you think it's possible that our behaviors and our interaction with the sensory world, which is really what phones and email really are, could induce ADD or reactivate it?</t>
  </si>
  <si>
    <t>362-363</t>
  </si>
  <si>
    <t>hle_qna_0341</t>
  </si>
  <si>
    <t>Near-duplicate of QA-0173; concise workbook representation retained</t>
  </si>
  <si>
    <t>And I realize it's a huge category of compounds, but LSD and psilocybin, as I understand, trigger activation of particular serotonin receptor mechanisms may or may not lead to more widespread activation of the brain, more that one wouldn't see otherwise. But when you look at the clinical and experimental literature, what is your top contour sense of how effective these tools are going to be for treating depression?</t>
  </si>
  <si>
    <t>363-364</t>
  </si>
  <si>
    <t>hle_qna_0343</t>
  </si>
  <si>
    <t>hle_qna_0344</t>
  </si>
  <si>
    <t>366-367</t>
  </si>
  <si>
    <t>hle_qna_0345</t>
  </si>
  <si>
    <t>And if you ask them, "Oh, what are you doing here?" they will create these elaborate stories.</t>
  </si>
  <si>
    <t>hle_qna_0346</t>
  </si>
  <si>
    <t>But where in the brain does it happen, and what are the major effects?</t>
  </si>
  <si>
    <t>hle_qna_0347</t>
  </si>
  <si>
    <t>How do we know?</t>
  </si>
  <si>
    <t>hle_qna_0349</t>
  </si>
  <si>
    <t>How many bouts?</t>
  </si>
  <si>
    <t>hle_qna_0350</t>
  </si>
  <si>
    <t>How's your rehab?" And they'll go, "Oh, it's okay.</t>
  </si>
  <si>
    <t>hle_qna_0351</t>
  </si>
  <si>
    <t>So, how would this work?</t>
  </si>
  <si>
    <t>hle_qna_0353</t>
  </si>
  <si>
    <t>hle_qna_0358</t>
  </si>
  <si>
    <t>Will that cure your depression?</t>
  </si>
  <si>
    <t>hle_qna_0359</t>
  </si>
  <si>
    <t>How much ginger?</t>
  </si>
  <si>
    <t>hle_qna_0361</t>
  </si>
  <si>
    <t>So, where do they go?</t>
  </si>
  <si>
    <t>hle_qna_0362</t>
  </si>
  <si>
    <t>What are the actual neurons and connections?</t>
  </si>
  <si>
    <t>hle_qna_0363</t>
  </si>
  <si>
    <t>What sorts of things?</t>
  </si>
  <si>
    <t>hle_qna_0365</t>
  </si>
  <si>
    <t>Now, do you need red lights?</t>
  </si>
  <si>
    <t>hle_qna_0367</t>
  </si>
  <si>
    <t>So how might you implement this?</t>
  </si>
  <si>
    <t>hle_qna_0368</t>
  </si>
  <si>
    <t>So what am I talking about?</t>
  </si>
  <si>
    <t>hle_qna_0369</t>
  </si>
  <si>
    <t>When am I getting that light?</t>
  </si>
  <si>
    <t>hle_qna_0370</t>
  </si>
  <si>
    <t>When should I exercise, et cetera?</t>
  </si>
  <si>
    <t>hle_qna_0373</t>
  </si>
  <si>
    <t>Near-duplicate of QA-0179; concise workbook representation retained</t>
  </si>
  <si>
    <t>Didn't know that. Could you elaborate on more oxidative fibers, what that is and how it relates to metabolic flexibility?</t>
  </si>
  <si>
    <t>hle_qna_0376</t>
  </si>
  <si>
    <t>Near-duplicate of QA-0180; concise workbook representation retained</t>
  </si>
  <si>
    <t>And here I'm asking for both men and women starting the eating window at, say, 11 a.m. or noon and ending it a little bit later. So not a six-hour eating window or seven-hour eating window, but extending that to 8 or 9 p.m. under those conditions, do you still see the obesogenic effect?</t>
  </si>
  <si>
    <t>414-415</t>
  </si>
  <si>
    <t>hle_qna_0377</t>
  </si>
  <si>
    <t>How does estrogen flux?</t>
  </si>
  <si>
    <t>hle_qna_0378</t>
  </si>
  <si>
    <t>Near-duplicate of QA-0183; concise workbook representation retained</t>
  </si>
  <si>
    <t>I imagine that solution involves ingesting some fuel. What is a good example of a pretraining meal, if you will? And we could put some variation on that for people with different tendencies towards omnivore or vegan or whatever, but what is the timing of that meal relative to training that works best?</t>
  </si>
  <si>
    <t>hle_qna_0379</t>
  </si>
  <si>
    <t>Near-duplicate of QA-0182; concise workbook representation retained</t>
  </si>
  <si>
    <t>hle_qna_0380</t>
  </si>
  <si>
    <t>But when we start to get to perimenopause and we're losing all the flux of estrogen, and estrogen is woman's testosterone, the key driver for strength and power?</t>
  </si>
  <si>
    <t>hle_qna_0381</t>
  </si>
  <si>
    <t>Near-duplicate of QA-0184; concise workbook representation retained</t>
  </si>
  <si>
    <t>What do you recommend women eat after they train?</t>
  </si>
  <si>
    <t>419-420</t>
  </si>
  <si>
    <t>hle_qna_0383</t>
  </si>
  <si>
    <t>How do I get it all in?</t>
  </si>
  <si>
    <t>hle_qna_0384</t>
  </si>
  <si>
    <t>Is that a biological aspect?</t>
  </si>
  <si>
    <t>421</t>
  </si>
  <si>
    <t>hle_qna_0385</t>
  </si>
  <si>
    <t>422-423</t>
  </si>
  <si>
    <t>hle_qna_0386</t>
  </si>
  <si>
    <t>A guy comes in like, all right, how much do you want to put on?</t>
  </si>
  <si>
    <t>hle_qna_0387</t>
  </si>
  <si>
    <t>Near-duplicate of QA-0187; concise workbook representation retained</t>
  </si>
  <si>
    <t>Women, let's say 30 and younger women, 31 to let's say 40, and then let's say 41 to 60, and then maybe 61 and on. In terms of how many sessions of resistance training per week, is it whole body training? How many sessions of cardiovascular training and what sorts of examples could you give?</t>
  </si>
  <si>
    <t>423-424</t>
  </si>
  <si>
    <t>hle_qna_0388</t>
  </si>
  <si>
    <t>Near-duplicate of QA-0188; concise workbook representation retained</t>
  </si>
  <si>
    <t>As opposed to isolation movements where only one joint is moving. And for everybody, in all those age ranges that you describe, are you suggesting they train the same muscle groups three or four times per week, or they do some sort of split where it's upper body, lower body, take a day off, or upper body, take a day off, lower body, take a day off? What might work for them?</t>
  </si>
  <si>
    <t>424-425</t>
  </si>
  <si>
    <t>hle_qna_0389</t>
  </si>
  <si>
    <t>So if I work with a lot of endurance athletes still, and they're like, well, how do I fit it in?</t>
  </si>
  <si>
    <t>hle_qna_0390</t>
  </si>
  <si>
    <t>Near-duplicate of QA-0189; concise workbook representation retained</t>
  </si>
  <si>
    <t>And as you pointed out, for various reasons, cultural reasons, historical reasons around exercise, my observation is that most women, sort of, unless they know better, default to cardiovascular exercise as opposed to resistance training. So if a woman in her 40s, late 30s to let's say 50, is doing two to four sessions of resistance training workouts per week, and they also really like cardio, or they feel they want to or should do cardio, should they be careful about how much cardio they're doing? And is there a best form of cardio? Should they, should they really emphasize the high intensity interval training? Should they avoid zone 2?</t>
  </si>
  <si>
    <t>hle_qna_0391</t>
  </si>
  <si>
    <t>426-427</t>
  </si>
  <si>
    <t>hle_qna_0392</t>
  </si>
  <si>
    <t>So what's the best line of attack for somebody who really wants to overcome this longevity barrier?</t>
  </si>
  <si>
    <t>427-428</t>
  </si>
  <si>
    <t>hle_qna_0393</t>
  </si>
  <si>
    <t>Near-duplicate of QA-0191; concise workbook representation retained</t>
  </si>
  <si>
    <t>One can still get hurt, but it's just more straightforward. Is there a way that, in the absence of a budget for a personal trainer, that somebody can learn how to do these movements and, as you said, ease into them over the course of even up to four months in a way that they can be confident that they're unlikely to get hurt and really build up their capacity to do real work that can benefit them?</t>
  </si>
  <si>
    <t>hle_qna_0394</t>
  </si>
  <si>
    <t>Near-duplicate of QA-0193; concise workbook representation retained</t>
  </si>
  <si>
    <t>They're inextricably linked. For instance, is there a particular phase of the menstrual cycle where a woman should expect that motivation and/or recovery would be more challenging?</t>
  </si>
  <si>
    <t>429-430</t>
  </si>
  <si>
    <t>hle_qna_0395</t>
  </si>
  <si>
    <t>hle_qna_0396</t>
  </si>
  <si>
    <t>Near-duplicate of QA-0194; concise workbook representation retained</t>
  </si>
  <si>
    <t>431-432</t>
  </si>
  <si>
    <t>hle_qna_0397</t>
  </si>
  <si>
    <t>But again, the sticking point is, did you ovulate or not?</t>
  </si>
  <si>
    <t>hle_qna_0398</t>
  </si>
  <si>
    <t>So if you're going to try to exert it all in a high-intensity workout, what do you have left over for the rest of the day?</t>
  </si>
  <si>
    <t>hle_qna_0399</t>
  </si>
  <si>
    <t>So it's, again, it's really dialing it back down to the individual now, because we don't have enough robust research to make generalized ideas because of the nuance of have you ovulated or not?</t>
  </si>
  <si>
    <t>hle_qna_0402</t>
  </si>
  <si>
    <t>How does that affect things?</t>
  </si>
  <si>
    <t>434-435</t>
  </si>
  <si>
    <t>hle_qna_0403</t>
  </si>
  <si>
    <t>So they got a guy from Stanford to develop the pill, and he's like, you know what?</t>
  </si>
  <si>
    <t>hle_qna_0404</t>
  </si>
  <si>
    <t>Near-duplicate of QA-0199; concise workbook representation retained</t>
  </si>
  <si>
    <t>436-437</t>
  </si>
  <si>
    <t>hle_qna_0405</t>
  </si>
  <si>
    <t>hle_qna_0406</t>
  </si>
  <si>
    <t>And when I say we're looking at young girls, and again, we don't know what's happening, is it reversible in young girls that are put on it or not because of the brain structure changes that are happening?</t>
  </si>
  <si>
    <t>hle_qna_0407</t>
  </si>
  <si>
    <t>Near-duplicate of QA-0200; concise workbook representation retained</t>
  </si>
  <si>
    <t>But let me just ask it more directly. Firstly, what are some things that can be measured directly from menstrual blood that are informative for women?</t>
  </si>
  <si>
    <t>hle_qna_0408</t>
  </si>
  <si>
    <t>hle_qna_0409</t>
  </si>
  <si>
    <t>So the true PCOS, yes, there is a high incidence from a reporting standpoint, but is it that rebound where it's not having all the androgenic changes?</t>
  </si>
  <si>
    <t>437-438</t>
  </si>
  <si>
    <t>hle_qna_0410</t>
  </si>
  <si>
    <t>Near-duplicate of QA-0203; concise workbook representation retained</t>
  </si>
  <si>
    <t>As we talk about menstruation, we should probably talk about iron stores and iron. Do women need to supplement iron given that they lose iron during menstruation?</t>
  </si>
  <si>
    <t>438-439</t>
  </si>
  <si>
    <t>hle_qna_0411</t>
  </si>
  <si>
    <t>Near-duplicate of QA-0202; concise workbook representation retained</t>
  </si>
  <si>
    <t>In other words, it's all context dependent. Is there anything that springs to mind of interesting studies as it relates to androgens or estrogens in women athletes and as it relates to exercise?</t>
  </si>
  <si>
    <t>hle_qna_0412</t>
  </si>
  <si>
    <t>Near-duplicate of QA-0205; concise workbook representation retained</t>
  </si>
  <si>
    <t>hle_qna_0413</t>
  </si>
  <si>
    <t>hle_qna_0414</t>
  </si>
  <si>
    <t>Do women blanket need to supplement?</t>
  </si>
  <si>
    <t>hle_qna_0415</t>
  </si>
  <si>
    <t>Near-duplicate of QA-0206; concise workbook representation retained</t>
  </si>
  <si>
    <t>I suspect, based on what you just said that the answer will be yes. But are there case conditions where women should be cautious about their intake of caffeine, independent of this anxiety thing?</t>
  </si>
  <si>
    <t>hle_qna_0416</t>
  </si>
  <si>
    <t>Near-duplicate of QA-0208; concise workbook representation retained</t>
  </si>
  <si>
    <t>441-442</t>
  </si>
  <si>
    <t>hle_qna_0418</t>
  </si>
  <si>
    <t>There's some athletes at Stanford doing that, but just want to throw that out there. Is there anything else you want to add to that?</t>
  </si>
  <si>
    <t>445-446</t>
  </si>
  <si>
    <t>hle_qna_0419</t>
  </si>
  <si>
    <t>Oh, interesting. So after a good weight training session, if one has the luxury of doing it, get into the sauna for...?</t>
  </si>
  <si>
    <t>hle_qna_0420</t>
  </si>
  <si>
    <t>Okay. Which then translates to what, in terms of athletic performance?</t>
  </si>
  <si>
    <t>hle_qna_0421</t>
  </si>
  <si>
    <t>Did it really?</t>
  </si>
  <si>
    <t>hle_qna_0423</t>
  </si>
  <si>
    <t>It gets you going?</t>
  </si>
  <si>
    <t>hle_qna_0424</t>
  </si>
  <si>
    <t>Near-duplicate of QA-0218; concise workbook representation retained</t>
  </si>
  <si>
    <t>I think this is a great thing, a great trend. Are there female specific requirements for sleep that vary across the menstrual cycle and or by age or just generally? Do men and women need to think about the need for sleep differently?</t>
  </si>
  <si>
    <t>hle_qna_0425</t>
  </si>
  <si>
    <t>hle_qna_0426</t>
  </si>
  <si>
    <t>Near-duplicate of QA-0219; concise workbook representation retained</t>
  </si>
  <si>
    <t>Insurance policy. What are some of your favorite supplements in any of those categories, specifically for women, and perhaps even specifically during certain phases of the menstrual cycle?</t>
  </si>
  <si>
    <t>hle_qna_0427</t>
  </si>
  <si>
    <t>Near-duplicate of QA-0220; concise workbook representation retained</t>
  </si>
  <si>
    <t>So that's important to note. But assuming that the adaptogens are reducing cortisol levels in addition to doing other things, is there a particular time of day or night that people should consider taking them? Should they avoid taking it early in the day?</t>
  </si>
  <si>
    <t>hle_qna_0428</t>
  </si>
  <si>
    <t>Training at a given intensity or not. What are your recommendations?</t>
  </si>
  <si>
    <t>hle_qna_0429</t>
  </si>
  <si>
    <t>Near-duplicate of QA-0222; concise workbook representation retained</t>
  </si>
  <si>
    <t>Now seems like a good time to address some specific questions related to the age brackets that you mentioned earlier. In anticipation of sitting down with you today, I asked some different women that I know, if you could ask the world expert in exercise physiology, hormones and nutrition, etc. as it relates to women, one question, what would it be? And one of the most common questions I got in the 50-and-up category was, what is the most efficient way for a woman older than 50 to train for the maximum health span and lifespan benefits?</t>
  </si>
  <si>
    <t>454-455</t>
  </si>
  <si>
    <t>hle_qna_0430</t>
  </si>
  <si>
    <t>Just around 100 degrees Fahrenheit?</t>
  </si>
  <si>
    <t>hle_qna_0431</t>
  </si>
  <si>
    <t>Near-duplicate of QA-0223; concise workbook representation retained</t>
  </si>
  <si>
    <t>And if we need to divide that more finely, we can. What is the most efficient way for them to train for health, vigor, and longevity?</t>
  </si>
  <si>
    <t>hle_qna_0432</t>
  </si>
  <si>
    <t>For brain health?</t>
  </si>
  <si>
    <t>hle_qna_0433</t>
  </si>
  <si>
    <t>Near-duplicate of QA-0224; concise workbook representation retained</t>
  </si>
  <si>
    <t>Let's disambiguate high intensity from what most people think of high intensity, which is a really hard workout, a tough class where they had me moving the whole time, doing a circuit, etc. What is the appropriate high intensity workout look like?</t>
  </si>
  <si>
    <t>457-458</t>
  </si>
  <si>
    <t>hle_qna_0435</t>
  </si>
  <si>
    <t>20% is life. Because otherwise, where do we get our chocolate and our whiskey?</t>
  </si>
  <si>
    <t>hle_qna_0436</t>
  </si>
  <si>
    <t>Near-duplicate of QA-0227; concise workbook representation retained</t>
  </si>
  <si>
    <t>And fats. Where do you like to see women get their fats from?</t>
  </si>
  <si>
    <t>460-461</t>
  </si>
  <si>
    <t>hle_qna_0437</t>
  </si>
  <si>
    <t>Near-duplicate of QA-0226; concise workbook representation retained</t>
  </si>
  <si>
    <t>hle_qna_0438</t>
  </si>
  <si>
    <t>Near-duplicate of QA-0228; concise workbook representation retained</t>
  </si>
  <si>
    <t>Kind of a fun, hopefully fun question for you. If you had a magic wand and you could get all the women on earth now and going forward to make a change or changes — you don't have to pick just one — in terms of nutrition, how they think about their hormone cycle, exercise, health span, lifespan, what would it be?</t>
  </si>
  <si>
    <t>hle_qna_0439</t>
  </si>
  <si>
    <t>Near-duplicate of QA-0230; concise workbook representation retained</t>
  </si>
  <si>
    <t>Maybe they think about calories in, calories out, that sort of thing. But what are we talking about when we're talking about metabolic function and dysfunction?</t>
  </si>
  <si>
    <t>465-467</t>
  </si>
  <si>
    <t>hle_qna_0441</t>
  </si>
  <si>
    <t>Near-duplicate of QA-0231; concise workbook representation retained</t>
  </si>
  <si>
    <t>Because ultimately, what we want, of course, is an optimistic picture that we can actually take some control, that we have some agency in all of this, which I believe we do. So if you would, could you get us all on the same page about what are mitochondria and what do they do? Why are they so important?</t>
  </si>
  <si>
    <t>467-470</t>
  </si>
  <si>
    <t>hle_qna_0442</t>
  </si>
  <si>
    <t>And what could be more threatening to the body than a cell that can't do its job?</t>
  </si>
  <si>
    <t>hle_qna_0444</t>
  </si>
  <si>
    <t>So you've got these tornadoes of interrelated physiology of mitochondrial dysfunction, chronic inflammation, oxidative stress, which, if you start going to the research as a clinician who's focused on symptoms and confusing those for the disease, and look at what's the pathophysiology of arthritis, what's the pathophysiology of Alzheimer's dementia?</t>
  </si>
  <si>
    <t>hle_qna_0445</t>
  </si>
  <si>
    <t>Near-duplicate of QA-0232; concise workbook representation retained</t>
  </si>
  <si>
    <t>First of all, about places to live: You've been talking a lot about in the United States. Are some of the same issues with metabolic dysfunction occurring outside of the United States?</t>
  </si>
  <si>
    <t>hle_qna_0446</t>
  </si>
  <si>
    <t>Near-duplicate of QA-0233; concise workbook representation retained</t>
  </si>
  <si>
    <t>And the consequence of this we see in the form of excess adipose tissue and all the downstream effects — it's not just aesthetic, it's really all the downstream effects of visceral fat, subcutaneous fat, etc. What is it that would improve access to energy and energy utilization in cells? Is it simply a matter of getting the mitochondria to function better? Or is it that one can actually create more mitochondria?</t>
  </si>
  <si>
    <t>472-474</t>
  </si>
  <si>
    <t>hle_qna_0447</t>
  </si>
  <si>
    <t>But first principles, it's, how do we get more of these working better, doing more work every day?</t>
  </si>
  <si>
    <t>hle_qna_0450</t>
  </si>
  <si>
    <t>Near-duplicate of QA-0237; concise workbook representation retained</t>
  </si>
  <si>
    <t>Nonetheless, the total time commitment isn't that great, but I find that I'm at a desk a lot and I have a standing desk. Is it wise to get a treadmill, to treadmill under the desk?</t>
  </si>
  <si>
    <t>478-479</t>
  </si>
  <si>
    <t>hle_qna_0451</t>
  </si>
  <si>
    <t>479-480</t>
  </si>
  <si>
    <t>hle_qna_0453</t>
  </si>
  <si>
    <t>And you think from there, like, what has happened?</t>
  </si>
  <si>
    <t>hle_qna_0454</t>
  </si>
  <si>
    <t>hle_qna_0456</t>
  </si>
  <si>
    <t>Why would you do that?</t>
  </si>
  <si>
    <t>hle_qna_0457</t>
  </si>
  <si>
    <t>And then what's, like, the next tier up that are easy to access and are cheap, that'll give you a lot more richness, but which you still might have to kind of fight your doctor for?</t>
  </si>
  <si>
    <t>482-483</t>
  </si>
  <si>
    <t>hle_qna_0458</t>
  </si>
  <si>
    <t>Okay, sorry, I hate to interrupt, and my audience hates it even more, but I'm gonna just. Could you just explain what each of those is and what it corresponds to?</t>
  </si>
  <si>
    <t>483-484</t>
  </si>
  <si>
    <t>hle_qna_0459</t>
  </si>
  <si>
    <t>Could you remind us what hemoglobin A1C is?</t>
  </si>
  <si>
    <t>hle_qna_0460</t>
  </si>
  <si>
    <t>Okay, well, where's all that?</t>
  </si>
  <si>
    <t>484-485</t>
  </si>
  <si>
    <t>hle_qna_0462</t>
  </si>
  <si>
    <t>What's the secret code?</t>
  </si>
  <si>
    <t>486-487</t>
  </si>
  <si>
    <t>hle_qna_0463</t>
  </si>
  <si>
    <t>Do I do HIT or zone 2 or eccentric?</t>
  </si>
  <si>
    <t>487</t>
  </si>
  <si>
    <t>hle_qna_0464</t>
  </si>
  <si>
    <t>Near-duplicate of QA-0243; concise workbook representation retained</t>
  </si>
  <si>
    <t>I know we talked about walking and movement before. What are a few others?</t>
  </si>
  <si>
    <t>488-489</t>
  </si>
  <si>
    <t>hle_qna_0465</t>
  </si>
  <si>
    <t>And where is there a lot of room for improvement?</t>
  </si>
  <si>
    <t>hle_qna_0466</t>
  </si>
  <si>
    <t>Near-duplicate of QA-0244; concise workbook representation retained</t>
  </si>
  <si>
    <t>But I know a lot of people like sandwiches, processed foods, things that are combinations of ingredients. What do we know about kind of, I don't want to say optimal, but if one, we're going to explore different ways of eating for sake of adjusting these biomarkers in the right direction and improving metabolic health, is there kind of a generic jumping-off point? Would most people, for instance, be wise to cut back on the total number of sugars, or the total amount of sugar, rather perhaps reduce the amount of carbohydrate and replace it with some lean, quality protein? I mean, are there generalizations that we can make, or is it really all just about not getting excessive calories and trying to get those calories from the most nutrient-rich sources?</t>
  </si>
  <si>
    <t>hle_qna_0468</t>
  </si>
  <si>
    <t>Who doesn't love butter?</t>
  </si>
  <si>
    <t>493-494</t>
  </si>
  <si>
    <t>hle_qna_0470</t>
  </si>
  <si>
    <t>Is it a regular Coke?</t>
  </si>
  <si>
    <t>hle_qna_0471</t>
  </si>
  <si>
    <t>Again, low-sugar varieties, probably best, kefir... [Casey Means: Not kombucha.] Yeah, maybe not. You said not kombucha?</t>
  </si>
  <si>
    <t>hle_qna_0473</t>
  </si>
  <si>
    <t>And actually, the toughest thing for all of them was to stop asking me, or themselves, rather, like, can I include this condiment, this, this?</t>
  </si>
  <si>
    <t>498-499</t>
  </si>
  <si>
    <t>hle_qna_0474</t>
  </si>
  <si>
    <t>You know, as the only source of weight loss?</t>
  </si>
  <si>
    <t>hle_qna_0475</t>
  </si>
  <si>
    <t>499-500</t>
  </si>
  <si>
    <t>hle_qna_0476</t>
  </si>
  <si>
    <t>hle_qna_0477</t>
  </si>
  <si>
    <t>Near-duplicate of QA-0255; concise workbook representation retained</t>
  </si>
  <si>
    <t>I mean, and one would hope they are, if they're already taking these meds. Or is it the case that when people have a pill or an injection or a potion that gives them the effect that they want, that they just remain sedentary?</t>
  </si>
  <si>
    <t>500-501</t>
  </si>
  <si>
    <t>hle_qna_0478</t>
  </si>
  <si>
    <t>Near-duplicate of QA-0256; concise workbook representation retained</t>
  </si>
  <si>
    <t>It's not work from my lab, but I still think that there's a lot of really terrific work on deliberate cold exposure. What's the deal with temperature and mitochondria?</t>
  </si>
  <si>
    <t>502-503</t>
  </si>
  <si>
    <t>hle_qna_0479</t>
  </si>
  <si>
    <t>Near-duplicate of QA-0257; concise workbook representation retained</t>
  </si>
  <si>
    <t>As you said, not as critical as food intake and quality, amount and maybe timing as well. Speaking of timing, what are your thoughts on fasting? And then, of course, movement and exercise?</t>
  </si>
  <si>
    <t>hle_qna_0480</t>
  </si>
  <si>
    <t>Near-duplicate of QA-0260; concise workbook representation retained</t>
  </si>
  <si>
    <t>It just so happens I did this and really benefited from it. What are some other things that one can learn from continuous monitoring of blood glucose? What are some things to watch for that might signal a problem? And what are some fun things that one could do to explore and experiment?</t>
  </si>
  <si>
    <t>507-509</t>
  </si>
  <si>
    <t>hle_qna_0481</t>
  </si>
  <si>
    <t>509-510</t>
  </si>
  <si>
    <t>hle_qna_0483</t>
  </si>
  <si>
    <t>More of the fun stuff is, like, actually just figuring out, like, how is food affecting your body?</t>
  </si>
  <si>
    <t>hle_qna_0486</t>
  </si>
  <si>
    <t>Can I mention one more?</t>
  </si>
  <si>
    <t>511-512</t>
  </si>
  <si>
    <t>hle_qna_0487</t>
  </si>
  <si>
    <t>Near-duplicate of QA-0263; concise workbook representation retained</t>
  </si>
  <si>
    <t>Because, for instance, I would love to know continuous hormone levels, lipid levels, blood sugar levels. I mean, are we moving past just blood glucose? And are there soon to be other things in these monitors?</t>
  </si>
  <si>
    <t>512-513</t>
  </si>
  <si>
    <t>hle_qna_0488</t>
  </si>
  <si>
    <t>And are there soon to be other things in these monitors?</t>
  </si>
  <si>
    <t>hle_qna_0489</t>
  </si>
  <si>
    <t>Near-duplicate of QA-0264; concise workbook representation retained</t>
  </si>
  <si>
    <t>So maybe touch a little bit on mindset, if you will. And what are your thoughts on nature — literally getting out-of-doors?</t>
  </si>
  <si>
    <t>hle_qna_0491</t>
  </si>
  <si>
    <t>And our mitochondria are like, what?</t>
  </si>
  <si>
    <t>515-517</t>
  </si>
  <si>
    <t>Episode and Segment Metadata</t>
  </si>
  <si>
    <t>Eleven transcript segments are represented: nine guest interviews and two solo educational sections recovered from the supplied CSV. Titles remain descriptive unless independently confirmed against an official episode listing.</t>
  </si>
  <si>
    <t>Descriptive Episode Title</t>
  </si>
  <si>
    <t>Start Page</t>
  </si>
  <si>
    <t>End Page</t>
  </si>
  <si>
    <t>Interviewer / Host</t>
  </si>
  <si>
    <t>Interviewee / Speaker</t>
  </si>
  <si>
    <t>Speaker Credentials</t>
  </si>
  <si>
    <t>Speaker Role</t>
  </si>
  <si>
    <t>Credential Source URL</t>
  </si>
  <si>
    <t>Cleaned Q&amp;A Count</t>
  </si>
  <si>
    <t>Added-from-CSV Count</t>
  </si>
  <si>
    <t>Boundary Method</t>
  </si>
  <si>
    <t>Transcript Review Status</t>
  </si>
  <si>
    <t>Title Status</t>
  </si>
  <si>
    <t>Human Boundary Review</t>
  </si>
  <si>
    <t>Notes</t>
  </si>
  <si>
    <t>PhD</t>
  </si>
  <si>
    <t>Solo host segment</t>
  </si>
  <si>
    <t>https://profiles.stanford.edu/andrew-huberman</t>
  </si>
  <si>
    <t>PDF pages preceding first guest interview</t>
  </si>
  <si>
    <t>User reports human-reviewed source</t>
  </si>
  <si>
    <t>Descriptive title derived from content</t>
  </si>
  <si>
    <t>MD</t>
  </si>
  <si>
    <t>Obstetrician, gynecologist and surgeon</t>
  </si>
  <si>
    <t>https://www.draliabadi.com/about-dr-aliabadi-los-angeles-obgyn-gynecologist-surgeon/</t>
  </si>
  <si>
    <t>PDF page transition / large white gap plus episode introduction and sign-off</t>
  </si>
  <si>
    <t>Descriptive title derived from transcript introduction</t>
  </si>
  <si>
    <t>Distinguished Professor of Neurobiology</t>
  </si>
  <si>
    <t>https://bri.ucla.edu/people/jack-feldman/</t>
  </si>
  <si>
    <t>Professor of psychology, neuroscience and neurobiology</t>
  </si>
  <si>
    <t>https://www.neuro.duke.edu/profile/jennifer-m-groh</t>
  </si>
  <si>
    <t>MD, PhD, FACS</t>
  </si>
  <si>
    <t>Auditory neuroscientist and neurotologic surgeon</t>
  </si>
  <si>
    <t>https://profiles.stanford.edu/konstantina-stankovic?tab=bio</t>
  </si>
  <si>
    <t>Credential not confirmed as PhD</t>
  </si>
  <si>
    <t>Nutrition researcher and educator</t>
  </si>
  <si>
    <t>https://alanaragon.com/about/</t>
  </si>
  <si>
    <t>Psychologist and mindset researcher</t>
  </si>
  <si>
    <t>https://profiles.stanford.edu/alia-crum</t>
  </si>
  <si>
    <t>MD, PhD</t>
  </si>
  <si>
    <t>Psychiatrist, neuroscientist and bioengineer</t>
  </si>
  <si>
    <t>https://profiles.stanford.edu/karl-deisseroth</t>
  </si>
  <si>
    <t>PDF pages between guest interview segments</t>
  </si>
  <si>
    <t>MSc, PhD</t>
  </si>
  <si>
    <t>Exercise physiologist and nutrition scientist</t>
  </si>
  <si>
    <t>https://www.drstacysims.com/about-stacy</t>
  </si>
  <si>
    <t>Physician and metabolic-health author</t>
  </si>
  <si>
    <t>https://med.stanford.edu/news/all-news/2025/05/statement-casey-means.html</t>
  </si>
  <si>
    <t>Speaker credentials are recorded individually. Expertise does not make every spoken claim equivalent to peer-reviewed evidence, and not all speakers are PhD holders.</t>
  </si>
  <si>
    <t>Person ID</t>
  </si>
  <si>
    <t>Name</t>
  </si>
  <si>
    <t>Episode Role</t>
  </si>
  <si>
    <t>Credentials</t>
  </si>
  <si>
    <t>PhD Confirmed?</t>
  </si>
  <si>
    <t>Expertise / Position</t>
  </si>
  <si>
    <t>Verification Basis</t>
  </si>
  <si>
    <t>PER-001</t>
  </si>
  <si>
    <t>Host / interviewer / solo speaker</t>
  </si>
  <si>
    <t>Neuroscientist and professor</t>
  </si>
  <si>
    <t>Authoritative university profile</t>
  </si>
  <si>
    <t>PER-002</t>
  </si>
  <si>
    <t>Interviewee</t>
  </si>
  <si>
    <t>Professional biography</t>
  </si>
  <si>
    <t>PER-003</t>
  </si>
  <si>
    <t>PER-004</t>
  </si>
  <si>
    <t>PER-005</t>
  </si>
  <si>
    <t>PER-006</t>
  </si>
  <si>
    <t>Not confirmed as PhD</t>
  </si>
  <si>
    <t>Not confirmed</t>
  </si>
  <si>
    <t>Official professional biography; degree requires further verification</t>
  </si>
  <si>
    <t>PER-007</t>
  </si>
  <si>
    <t>PER-008</t>
  </si>
  <si>
    <t>PER-009</t>
  </si>
  <si>
    <t>Official professional biography</t>
  </si>
  <si>
    <t>PER-010</t>
  </si>
  <si>
    <t>https://www.caseymeans.com/</t>
  </si>
  <si>
    <t>Official professional biography and transcript introduction</t>
  </si>
  <si>
    <t>Cleaning Method and Limitations</t>
  </si>
  <si>
    <t>This protocol documents the transformation from two source datasets to a processed retrieval dataset suitable for thesis evaluation after human and scientific verification.</t>
  </si>
  <si>
    <t>Item</t>
  </si>
  <si>
    <t>Documentation</t>
  </si>
  <si>
    <t>Purpose</t>
  </si>
  <si>
    <t>Create a cleaner retrieval/evaluation dataset by merging the earlier workbook with the supplied CSV, adding useful missing pairs and excluding questions that do not work as independent information needs.</t>
  </si>
  <si>
    <t>Original files</t>
  </si>
  <si>
    <t>The source CSV and earlier workbook were not overwritten. This workbook and its companion CSV are new processed outputs.</t>
  </si>
  <si>
    <t>Source CSV</t>
  </si>
  <si>
    <t>/Users/danicam003/Downloads/huberman_lab_essentials_qna_files/qna_pairs_retrieval.csv</t>
  </si>
  <si>
    <t>Source CSV SHA-256</t>
  </si>
  <si>
    <t>44274365814fefbf832c84ffcbc6eafa7dbe60a49a5794463bcd44eeaa5f545c</t>
  </si>
  <si>
    <t>Earlier workbook data source</t>
  </si>
  <si>
    <t>/Users/danicam003/Documents/Codex/2026-06-20/i-am-doing-a-master-thesis/work/huberman_qa/qa_data.json</t>
  </si>
  <si>
    <t>Earlier workbook data SHA-256</t>
  </si>
  <si>
    <t>1508430c27b03ec614864c76876ddda8f6de3feb49b0112c9c89bf1c03d52282</t>
  </si>
  <si>
    <t>Standalone-question review</t>
  </si>
  <si>
    <t>Removed generic follow-ups, unresolved pronouns, rhetorical filler, malformed speaker-label extraction, promotional questions, conversational banter, non-questions and answers too short to support retrieval.</t>
  </si>
  <si>
    <t>Semantic review</t>
  </si>
  <si>
    <t>Borderline rows were reviewed individually. Useful short questions were retained when they expressed a complete information need; context-only fragments were excluded.</t>
  </si>
  <si>
    <t>Question clarification</t>
  </si>
  <si>
    <t>Nineteen questions were minimally rewritten when the intended topic was recoverable with high confidence. The source wording remains in Original Question and Question Edited? is Yes.</t>
  </si>
  <si>
    <t>Deduplication</t>
  </si>
  <si>
    <t>Cross-source candidates were matched using page proximity, speaker identity, normalized question similarity and answer overlap. The concise workbook representation was retained for high-confidence duplicates; exact normalized duplicates were also collapsed.</t>
  </si>
  <si>
    <t>Self-answered pairs</t>
  </si>
  <si>
    <t>Self-answered educational questions from solo or expert monologue sections were retained only when the question and answer formed a coherent standalone pair.</t>
  </si>
  <si>
    <t>Q-Q retrieval</t>
  </si>
  <si>
    <t>The Question column is the embedding text for question-to-question semantic retrieval. Retrieval Recommendation and Context Dependency help define a stricter evaluation subset.</t>
  </si>
  <si>
    <t>Agent metadata</t>
  </si>
  <si>
    <t>Primary and secondary agent labels are automatic lexical routing aids for the nine-agent design: Router, Mental Health, Sleep, Hormonal Health, Lifestyle, Nutrition and Body, Intervention, Safety and Synthesizer. The Synthesizer combines evidence and does not own source rows.</t>
  </si>
  <si>
    <t>Evidence limitation</t>
  </si>
  <si>
    <t>Podcast transcript answers are expert commentary, not automatically verified medical evidence. Medical claims, dosages and interventions must be checked against papers, systematic reviews, guidelines and product safety information before public use.</t>
  </si>
  <si>
    <t>Human review status</t>
  </si>
  <si>
    <t>The user reports that the source transcript was human reviewed. Pair alignment, scientific accuracy and audio fidelity have not been independently verified in this processing pass.</t>
  </si>
  <si>
    <t>Safety</t>
  </si>
  <si>
    <t>Safety-tagging is automatic and intentionally conservative. It is not a clinical triage system. High-risk content requires a dedicated safety policy and human evaluation.</t>
  </si>
  <si>
    <t>Cleaned Q&amp;A Workbook Codebook</t>
  </si>
  <si>
    <t>Definitions distinguish raw provenance, processed text, automatic metadata and human decisions for reproducible thesis reporting.</t>
  </si>
  <si>
    <t>Field</t>
  </si>
  <si>
    <t>Definition</t>
  </si>
  <si>
    <t>Field Type</t>
  </si>
  <si>
    <t>Requirement</t>
  </si>
  <si>
    <t>New stable identifier for the cleaned master dataset.</t>
  </si>
  <si>
    <t>Identifier</t>
  </si>
  <si>
    <t>Required</t>
  </si>
  <si>
    <t>Standalone or minimally clarified retrieval question used as embedding text.</t>
  </si>
  <si>
    <t>Processed text</t>
  </si>
  <si>
    <t>Possible Answer</t>
  </si>
  <si>
    <t>Transcript-derived answer or answer excerpt; not an independently verified medical summary.</t>
  </si>
  <si>
    <t>Source-derived text</t>
  </si>
  <si>
    <t>Unedited wording from the source dataset.</t>
  </si>
  <si>
    <t>Raw provenance</t>
  </si>
  <si>
    <t>Yes when Question differs from Original Question.</t>
  </si>
  <si>
    <t>Boolean label</t>
  </si>
  <si>
    <t>Dialogue or self_answered_within_turn.</t>
  </si>
  <si>
    <t>Categorical</t>
  </si>
  <si>
    <t>PDF page or page span associated with the extracted pair.</t>
  </si>
  <si>
    <t>Automatic best-fit domain agent; routing aid rather than ground truth.</t>
  </si>
  <si>
    <t>Derived metadata</t>
  </si>
  <si>
    <t>Up to two additional lexical domain matches.</t>
  </si>
  <si>
    <t>Low or Medium estimate of how independently the question can be interpreted.</t>
  </si>
  <si>
    <t>Yes or Review recommendation for question-to-question indexing.</t>
  </si>
  <si>
    <t>Automatic indication that a pair may require dedicated safety review.</t>
  </si>
  <si>
    <t>Heuristic confidence in pair extraction, not probability that the medical claim is true.</t>
  </si>
  <si>
    <t>Derived score</t>
  </si>
  <si>
    <t>Existing workbook or supplied CSV addition.</t>
  </si>
  <si>
    <t>Lineage</t>
  </si>
  <si>
    <t>Identifier in the original dataset.</t>
  </si>
  <si>
    <t>Current validation status of the processed pair.</t>
  </si>
  <si>
    <t>Workflow metadata</t>
  </si>
  <si>
    <t>Editable human decision: Pending, Include, Exclude or Revise.</t>
  </si>
  <si>
    <t>Human decision</t>
  </si>
  <si>
    <t>Before use</t>
  </si>
  <si>
    <t>Huberman Transcript Q&amp;A Cleaning Report</t>
  </si>
  <si>
    <t>Processed merge of the supplied retrieval CSV and the earlier Q&amp;A workbook. Counts below are formula-linked to the cleaned and audit sheets.</t>
  </si>
  <si>
    <t>Input CSV</t>
  </si>
  <si>
    <t>Earlier Workbook</t>
  </si>
  <si>
    <t>Cleaned Master</t>
  </si>
  <si>
    <t>Added from CSV</t>
  </si>
  <si>
    <t>Removed</t>
  </si>
  <si>
    <t>Deduplicated</t>
  </si>
  <si>
    <t>Edited Questions</t>
  </si>
  <si>
    <t>Episodes / Segments</t>
  </si>
  <si>
    <t>Cleaned Pair Count</t>
  </si>
  <si>
    <t>Role in Architecture</t>
  </si>
  <si>
    <t>Routes broad or ambiguous questions</t>
  </si>
  <si>
    <t>Mental-health symptoms, psychiatry, mood and stress</t>
  </si>
  <si>
    <t>Sleep and circadian evidence</t>
  </si>
  <si>
    <t>Reproductive, menstrual and hormonal health</t>
  </si>
  <si>
    <t>Exercise, behavior, breathing, environment and context</t>
  </si>
  <si>
    <t>Nutrition, metabolism, body composition and physiology</t>
  </si>
  <si>
    <t>Treatments, diagnostics, medications and supplements</t>
  </si>
  <si>
    <t>Potentially high-risk content requiring policy checks</t>
  </si>
  <si>
    <t>Synthesizer Agent</t>
  </si>
  <si>
    <t>Combines retrieved evidence; does not own source rows</t>
  </si>
  <si>
    <t>Important: this is a cleaned extraction dataset, not a medically validated knowledge base. Every included row still requires source-page verification and scientific evidence checking before evaluation, fine-tuning, graph construction or public chatbot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</si>
</sst>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rlito"/>
    </font>
    <font>
      <b/>
      <sz val="16"/>
      <color rgb="FFFFFFFF"/>
      <name val="Carlito"/>
    </font>
    <font>
      <i/>
      <sz val="10"/>
      <color rgb="FF17324D"/>
      <name val="Carlito"/>
    </font>
    <font>
      <b/>
      <sz val="10"/>
      <color rgb="FFFFFFFF"/>
      <name val="Carlito"/>
    </font>
    <font>
      <sz val="9"/>
      <color rgb="FF17324D"/>
      <name val="Carlito"/>
    </font>
    <font>
      <b/>
      <sz val="16"/>
      <color rgb="FF17324D"/>
      <name val="Carlito"/>
    </font>
    <font>
      <b/>
      <sz val="11"/>
      <color rgb="FFFFFFFF"/>
      <name val="Carlito"/>
    </font>
    <font>
      <sz val="10"/>
      <color rgb="FF17324D"/>
      <name val="Carlito"/>
    </font>
    <font>
      <b/>
      <sz val="10"/>
      <color rgb="FF2D6FA3"/>
      <name val="Carlito"/>
    </font>
    <font>
      <b/>
      <sz val="10"/>
      <color rgb="FFC65D43"/>
      <name val="Carlito"/>
    </font>
  </fonts>
  <fills count="9">
    <fill>
      <patternFill patternType="none"/>
    </fill>
    <fill>
      <patternFill patternType="gray125"/>
    </fill>
    <fill>
      <patternFill patternType="solid">
        <fgColor rgb="FF17324D"/>
      </patternFill>
    </fill>
    <fill>
      <patternFill patternType="solid">
        <fgColor rgb="FFEAF3F8"/>
      </patternFill>
    </fill>
    <fill>
      <patternFill patternType="solid">
        <fgColor rgb="FF147D79"/>
      </patternFill>
    </fill>
    <fill>
      <patternFill patternType="solid">
        <fgColor rgb="FFFFF4D8"/>
      </patternFill>
    </fill>
    <fill>
      <patternFill patternType="solid">
        <fgColor rgb="FFE8F5F3"/>
      </patternFill>
    </fill>
    <fill>
      <patternFill patternType="solid">
        <fgColor rgb="FF2D6FA3"/>
      </patternFill>
    </fill>
    <fill>
      <patternFill patternType="solid">
        <fgColor rgb="FFFCEBE7"/>
      </patternFill>
    </fill>
  </fills>
  <borders count="11">
    <border>
      <left/>
      <right/>
      <top/>
      <bottom/>
      <diagonal/>
    </border>
    <border>
      <left/>
      <right/>
      <top/>
      <bottom style="medium">
        <color rgb="FF17324D"/>
      </bottom>
      <diagonal/>
    </border>
    <border>
      <left/>
      <right/>
      <top/>
      <bottom style="thin">
        <color rgb="FFD9E2E8"/>
      </bottom>
      <diagonal/>
    </border>
    <border>
      <left/>
      <right/>
      <top style="thin">
        <color rgb="FFD9E2E8"/>
      </top>
      <bottom style="thin">
        <color rgb="FFD9E2E8"/>
      </bottom>
      <diagonal/>
    </border>
    <border>
      <left/>
      <right/>
      <top style="thin">
        <color rgb="FFD9E2E8"/>
      </top>
      <bottom/>
      <diagonal/>
    </border>
    <border>
      <left style="thin">
        <color rgb="FF147D79"/>
      </left>
      <right/>
      <top style="thin">
        <color rgb="FF147D79"/>
      </top>
      <bottom style="thin">
        <color rgb="FF147D79"/>
      </bottom>
      <diagonal/>
    </border>
    <border>
      <left/>
      <right/>
      <top style="thin">
        <color rgb="FF147D79"/>
      </top>
      <bottom style="thin">
        <color rgb="FF147D79"/>
      </bottom>
      <diagonal/>
    </border>
    <border>
      <left/>
      <right style="thin">
        <color rgb="FF147D79"/>
      </right>
      <top style="thin">
        <color rgb="FF147D79"/>
      </top>
      <bottom style="thin">
        <color rgb="FF147D79"/>
      </bottom>
      <diagonal/>
    </border>
    <border>
      <left style="medium">
        <color rgb="FFC65D43"/>
      </left>
      <right/>
      <top style="medium">
        <color rgb="FFC65D43"/>
      </top>
      <bottom style="medium">
        <color rgb="FFC65D43"/>
      </bottom>
      <diagonal/>
    </border>
    <border>
      <left/>
      <right/>
      <top style="medium">
        <color rgb="FFC65D43"/>
      </top>
      <bottom style="medium">
        <color rgb="FFC65D43"/>
      </bottom>
      <diagonal/>
    </border>
    <border>
      <left/>
      <right style="medium">
        <color rgb="FFC65D43"/>
      </right>
      <top style="medium">
        <color rgb="FFC65D43"/>
      </top>
      <bottom style="medium">
        <color rgb="FFC65D43"/>
      </bottom>
      <diagonal/>
    </border>
  </borders>
  <cellStyleXfs count="1">
    <xf numFmtId="0" fontId="0" fillId="0" borderId="0"/>
  </cellStyleXfs>
  <cellXfs count="27">
    <xf numFmtId="0" fontId="0" fillId="0" borderId="0" xfId="0"/>
    <xf numFmtId="0" fontId="3" fillId="4" borderId="1" xfId="0" applyFont="1" applyFill="1" applyBorder="1" applyAlignment="1">
      <alignment vertical="center" wrapText="1"/>
    </xf>
    <xf numFmtId="0" fontId="4" fillId="0" borderId="2" xfId="0" applyFont="1" applyBorder="1" applyAlignment="1">
      <alignment vertical="top" wrapText="1"/>
    </xf>
    <xf numFmtId="0" fontId="4" fillId="0" borderId="3" xfId="0" applyFont="1" applyBorder="1" applyAlignment="1">
      <alignment vertical="top" wrapText="1"/>
    </xf>
    <xf numFmtId="0" fontId="4" fillId="0" borderId="4" xfId="0" applyFont="1" applyBorder="1" applyAlignment="1">
      <alignment vertical="top" wrapText="1"/>
    </xf>
    <xf numFmtId="9" fontId="4" fillId="0" borderId="2" xfId="0" applyNumberFormat="1" applyFont="1" applyBorder="1" applyAlignment="1">
      <alignment vertical="top" wrapText="1"/>
    </xf>
    <xf numFmtId="9" fontId="4" fillId="0" borderId="3" xfId="0" applyNumberFormat="1" applyFont="1" applyBorder="1" applyAlignment="1">
      <alignment vertical="top" wrapText="1"/>
    </xf>
    <xf numFmtId="9" fontId="4" fillId="0" borderId="4" xfId="0" applyNumberFormat="1" applyFont="1" applyBorder="1" applyAlignment="1">
      <alignment vertical="top" wrapText="1"/>
    </xf>
    <xf numFmtId="0" fontId="4" fillId="5" borderId="2" xfId="0" applyFont="1" applyFill="1" applyBorder="1" applyAlignment="1">
      <alignment vertical="top" wrapText="1"/>
    </xf>
    <xf numFmtId="0" fontId="4" fillId="5" borderId="3" xfId="0" applyFont="1" applyFill="1" applyBorder="1" applyAlignment="1">
      <alignment vertical="top" wrapText="1"/>
    </xf>
    <xf numFmtId="0" fontId="4" fillId="5" borderId="4" xfId="0" applyFont="1" applyFill="1" applyBorder="1" applyAlignment="1">
      <alignment vertical="top" wrapText="1"/>
    </xf>
    <xf numFmtId="0" fontId="3" fillId="4" borderId="0" xfId="0" applyFont="1" applyFill="1" applyAlignment="1">
      <alignment horizontal="center" wrapText="1"/>
    </xf>
    <xf numFmtId="0" fontId="5" fillId="6" borderId="5" xfId="0" applyFont="1" applyFill="1" applyBorder="1" applyAlignment="1">
      <alignment horizontal="center" vertical="center"/>
    </xf>
    <xf numFmtId="0" fontId="5" fillId="6" borderId="6" xfId="0" applyFont="1" applyFill="1" applyBorder="1" applyAlignment="1">
      <alignment horizontal="center" vertical="center"/>
    </xf>
    <xf numFmtId="0" fontId="5" fillId="6" borderId="7" xfId="0" applyFont="1" applyFill="1" applyBorder="1" applyAlignment="1">
      <alignment horizontal="center" vertical="center"/>
    </xf>
    <xf numFmtId="0" fontId="6" fillId="7" borderId="0" xfId="0" applyFont="1" applyFill="1" applyAlignment="1">
      <alignment wrapText="1"/>
    </xf>
    <xf numFmtId="0" fontId="7" fillId="0" borderId="2" xfId="0" applyFont="1" applyBorder="1" applyAlignment="1">
      <alignment vertical="top" wrapText="1"/>
    </xf>
    <xf numFmtId="0" fontId="7" fillId="0" borderId="3" xfId="0" applyFont="1" applyBorder="1" applyAlignment="1">
      <alignment vertical="top" wrapText="1"/>
    </xf>
    <xf numFmtId="0" fontId="7" fillId="0" borderId="4" xfId="0" applyFont="1" applyBorder="1" applyAlignment="1">
      <alignment vertical="top" wrapText="1"/>
    </xf>
    <xf numFmtId="0" fontId="8" fillId="3" borderId="2" xfId="0" applyFont="1" applyFill="1" applyBorder="1" applyAlignment="1">
      <alignment horizontal="center" vertical="top" wrapText="1"/>
    </xf>
    <xf numFmtId="0" fontId="8" fillId="3" borderId="3" xfId="0" applyFont="1" applyFill="1" applyBorder="1" applyAlignment="1">
      <alignment horizontal="center" vertical="top" wrapText="1"/>
    </xf>
    <xf numFmtId="0" fontId="8" fillId="3" borderId="4" xfId="0" applyFont="1" applyFill="1" applyBorder="1" applyAlignment="1">
      <alignment horizontal="center" vertical="top" wrapText="1"/>
    </xf>
    <xf numFmtId="0" fontId="1" fillId="2" borderId="0" xfId="0" applyFont="1" applyFill="1" applyAlignment="1">
      <alignment vertical="center"/>
    </xf>
    <xf numFmtId="0" fontId="2" fillId="3" borderId="0" xfId="0" applyFont="1" applyFill="1" applyAlignment="1">
      <alignment vertical="center" wrapText="1"/>
    </xf>
    <xf numFmtId="0" fontId="9" fillId="8" borderId="8" xfId="0" applyFont="1" applyFill="1" applyBorder="1" applyAlignment="1">
      <alignment vertical="center" wrapText="1"/>
    </xf>
    <xf numFmtId="0" fontId="9" fillId="8" borderId="9" xfId="0" applyFont="1" applyFill="1" applyBorder="1" applyAlignment="1">
      <alignment vertical="center" wrapText="1"/>
    </xf>
    <xf numFmtId="0" fontId="9" fillId="8" borderId="10" xfId="0" applyFont="1" applyFill="1" applyBorder="1" applyAlignment="1">
      <alignment vertical="center" wrapText="1"/>
    </xf>
  </cellXfs>
  <cellStyles count="1">
    <cellStyle name="Normal" xfId="0" builtinId="0"/>
  </cellStyles>
  <dxfs count="6">
    <dxf>
      <font>
        <b/>
      </font>
      <fill>
        <patternFill patternType="solid">
          <bgColor rgb="FFE8F4EA"/>
        </patternFill>
      </fill>
    </dxf>
    <dxf>
      <font>
        <b/>
        <color rgb="FFD68B18"/>
      </font>
      <fill>
        <patternFill patternType="solid">
          <bgColor rgb="FFFFF4D8"/>
        </patternFill>
      </fill>
    </dxf>
    <dxf>
      <font>
        <b/>
        <color rgb="FFC65D43"/>
      </font>
      <fill>
        <patternFill patternType="solid">
          <bgColor rgb="FFFCEBE7"/>
        </patternFill>
      </fill>
    </dxf>
    <dxf>
      <font>
        <b/>
        <color rgb="FFC65D43"/>
      </font>
      <fill>
        <patternFill patternType="solid">
          <bgColor rgb="FFFCEBE7"/>
        </patternFill>
      </fill>
    </dxf>
    <dxf>
      <font>
        <b/>
      </font>
      <fill>
        <patternFill patternType="solid">
          <bgColor rgb="FFE8F4EA"/>
        </patternFill>
      </fill>
    </dxf>
    <dxf>
      <font>
        <b/>
        <color rgb="FF2D6FA3"/>
      </font>
      <fill>
        <patternFill patternType="solid">
          <bgColor rgb="FFEAF3F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eanedQATable" displayName="CleanedQATable" ref="A4:Y261" totalsRowShown="0">
  <autoFilter ref="A4:Y261" xr:uid="{00000000-0009-0000-0100-000001000000}"/>
  <tableColumns count="25">
    <tableColumn id="1" xr3:uid="{00000000-0010-0000-0000-000001000000}" name="Pair ID"/>
    <tableColumn id="2" xr3:uid="{00000000-0010-0000-0000-000002000000}" name="Question"/>
    <tableColumn id="3" xr3:uid="{00000000-0010-0000-0000-000003000000}" name="Possible Answer (Transcript-Derived)"/>
    <tableColumn id="4" xr3:uid="{00000000-0010-0000-0000-000004000000}" name="Original Question"/>
    <tableColumn id="5" xr3:uid="{00000000-0010-0000-0000-000005000000}" name="Question Edited?"/>
    <tableColumn id="6" xr3:uid="{00000000-0010-0000-0000-000006000000}" name="Episode Title"/>
    <tableColumn id="7" xr3:uid="{00000000-0010-0000-0000-000007000000}" name="Episode ID"/>
    <tableColumn id="8" xr3:uid="{00000000-0010-0000-0000-000008000000}" name="Pair Type"/>
    <tableColumn id="9" xr3:uid="{00000000-0010-0000-0000-000009000000}" name="Question Speaker"/>
    <tableColumn id="10" xr3:uid="{00000000-0010-0000-0000-00000A000000}" name="Answer Speaker"/>
    <tableColumn id="11" xr3:uid="{00000000-0010-0000-0000-00000B000000}" name="Pages"/>
    <tableColumn id="12" xr3:uid="{00000000-0010-0000-0000-00000C000000}" name="Primary Agent"/>
    <tableColumn id="13" xr3:uid="{00000000-0010-0000-0000-00000D000000}" name="Secondary Agents"/>
    <tableColumn id="14" xr3:uid="{00000000-0010-0000-0000-00000E000000}" name="Context Dependency"/>
    <tableColumn id="15" xr3:uid="{00000000-0010-0000-0000-00000F000000}" name="Recommended for Q-Q Retrieval"/>
    <tableColumn id="16" xr3:uid="{00000000-0010-0000-0000-000010000000}" name="Safety Tag"/>
    <tableColumn id="17" xr3:uid="{00000000-0010-0000-0000-000011000000}" name="Extraction Confidence"/>
    <tableColumn id="18" xr3:uid="{00000000-0010-0000-0000-000012000000}" name="Source Origin"/>
    <tableColumn id="19" xr3:uid="{00000000-0010-0000-0000-000013000000}" name="Source Record ID"/>
    <tableColumn id="20" xr3:uid="{00000000-0010-0000-0000-000014000000}" name="Answer Word Count"/>
    <tableColumn id="21" xr3:uid="{00000000-0010-0000-0000-000015000000}" name="Review Status"/>
    <tableColumn id="22" xr3:uid="{00000000-0010-0000-0000-000016000000}" name="Source File"/>
    <tableColumn id="23" xr3:uid="{00000000-0010-0000-0000-000017000000}" name="Human Reviewer"/>
    <tableColumn id="24" xr3:uid="{00000000-0010-0000-0000-000018000000}" name="Reviewer Decision"/>
    <tableColumn id="25" xr3:uid="{00000000-0010-0000-0000-000019000000}" name="Reviewer 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ddedFromCSVTable" displayName="AddedFromCSVTable" ref="A4:Y120" totalsRowShown="0">
  <autoFilter ref="A4:Y120" xr:uid="{00000000-0009-0000-0100-000002000000}"/>
  <tableColumns count="25">
    <tableColumn id="1" xr3:uid="{00000000-0010-0000-0100-000001000000}" name="Pair ID"/>
    <tableColumn id="2" xr3:uid="{00000000-0010-0000-0100-000002000000}" name="Question"/>
    <tableColumn id="3" xr3:uid="{00000000-0010-0000-0100-000003000000}" name="Possible Answer (Transcript-Derived)"/>
    <tableColumn id="4" xr3:uid="{00000000-0010-0000-0100-000004000000}" name="Original Question"/>
    <tableColumn id="5" xr3:uid="{00000000-0010-0000-0100-000005000000}" name="Question Edited?"/>
    <tableColumn id="6" xr3:uid="{00000000-0010-0000-0100-000006000000}" name="Episode Title"/>
    <tableColumn id="7" xr3:uid="{00000000-0010-0000-0100-000007000000}" name="Episode ID"/>
    <tableColumn id="8" xr3:uid="{00000000-0010-0000-0100-000008000000}" name="Pair Type"/>
    <tableColumn id="9" xr3:uid="{00000000-0010-0000-0100-000009000000}" name="Question Speaker"/>
    <tableColumn id="10" xr3:uid="{00000000-0010-0000-0100-00000A000000}" name="Answer Speaker"/>
    <tableColumn id="11" xr3:uid="{00000000-0010-0000-0100-00000B000000}" name="Pages"/>
    <tableColumn id="12" xr3:uid="{00000000-0010-0000-0100-00000C000000}" name="Primary Agent"/>
    <tableColumn id="13" xr3:uid="{00000000-0010-0000-0100-00000D000000}" name="Secondary Agents"/>
    <tableColumn id="14" xr3:uid="{00000000-0010-0000-0100-00000E000000}" name="Context Dependency"/>
    <tableColumn id="15" xr3:uid="{00000000-0010-0000-0100-00000F000000}" name="Recommended for Q-Q Retrieval"/>
    <tableColumn id="16" xr3:uid="{00000000-0010-0000-0100-000010000000}" name="Safety Tag"/>
    <tableColumn id="17" xr3:uid="{00000000-0010-0000-0100-000011000000}" name="Extraction Confidence"/>
    <tableColumn id="18" xr3:uid="{00000000-0010-0000-0100-000012000000}" name="Source Origin"/>
    <tableColumn id="19" xr3:uid="{00000000-0010-0000-0100-000013000000}" name="Source Record ID"/>
    <tableColumn id="20" xr3:uid="{00000000-0010-0000-0100-000014000000}" name="Answer Word Count"/>
    <tableColumn id="21" xr3:uid="{00000000-0010-0000-0100-000015000000}" name="Review Status"/>
    <tableColumn id="22" xr3:uid="{00000000-0010-0000-0100-000016000000}" name="Source File"/>
    <tableColumn id="23" xr3:uid="{00000000-0010-0000-0100-000017000000}" name="Human Reviewer"/>
    <tableColumn id="24" xr3:uid="{00000000-0010-0000-0100-000018000000}" name="Reviewer Decision"/>
    <tableColumn id="25" xr3:uid="{00000000-0010-0000-0100-000019000000}" name="Reviewer 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leaningAuditTable" displayName="CleaningAuditTable" ref="A4:F759" totalsRowShown="0">
  <autoFilter ref="A4:F759" xr:uid="{00000000-0009-0000-0100-000003000000}"/>
  <tableColumns count="6">
    <tableColumn id="1" xr3:uid="{00000000-0010-0000-0200-000001000000}" name="Source"/>
    <tableColumn id="2" xr3:uid="{00000000-0010-0000-0200-000002000000}" name="Source Record ID"/>
    <tableColumn id="3" xr3:uid="{00000000-0010-0000-0200-000003000000}" name="Decision"/>
    <tableColumn id="4" xr3:uid="{00000000-0010-0000-0200-000004000000}" name="Reason"/>
    <tableColumn id="5" xr3:uid="{00000000-0010-0000-0200-000005000000}" name="Original Question"/>
    <tableColumn id="6" xr3:uid="{00000000-0010-0000-0200-000006000000}" name="Pag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pisodesTable" displayName="EpisodesTable" ref="A4:P15" totalsRowShown="0">
  <autoFilter ref="A4:P15" xr:uid="{00000000-0009-0000-0100-000004000000}"/>
  <tableColumns count="16">
    <tableColumn id="1" xr3:uid="{00000000-0010-0000-0300-000001000000}" name="Episode ID"/>
    <tableColumn id="2" xr3:uid="{00000000-0010-0000-0300-000002000000}" name="Descriptive Episode Title"/>
    <tableColumn id="3" xr3:uid="{00000000-0010-0000-0300-000003000000}" name="Start Page"/>
    <tableColumn id="4" xr3:uid="{00000000-0010-0000-0300-000004000000}" name="End Page"/>
    <tableColumn id="5" xr3:uid="{00000000-0010-0000-0300-000005000000}" name="Interviewer / Host"/>
    <tableColumn id="6" xr3:uid="{00000000-0010-0000-0300-000006000000}" name="Interviewee / Speaker"/>
    <tableColumn id="7" xr3:uid="{00000000-0010-0000-0300-000007000000}" name="Speaker Credentials"/>
    <tableColumn id="8" xr3:uid="{00000000-0010-0000-0300-000008000000}" name="Speaker Role"/>
    <tableColumn id="9" xr3:uid="{00000000-0010-0000-0300-000009000000}" name="Credential Source URL"/>
    <tableColumn id="10" xr3:uid="{00000000-0010-0000-0300-00000A000000}" name="Cleaned Q&amp;A Count"/>
    <tableColumn id="11" xr3:uid="{00000000-0010-0000-0300-00000B000000}" name="Added-from-CSV Count"/>
    <tableColumn id="12" xr3:uid="{00000000-0010-0000-0300-00000C000000}" name="Boundary Method"/>
    <tableColumn id="13" xr3:uid="{00000000-0010-0000-0300-00000D000000}" name="Transcript Review Status"/>
    <tableColumn id="14" xr3:uid="{00000000-0010-0000-0300-00000E000000}" name="Title Status"/>
    <tableColumn id="15" xr3:uid="{00000000-0010-0000-0300-00000F000000}" name="Human Boundary Review"/>
    <tableColumn id="16" xr3:uid="{00000000-0010-0000-0300-000010000000}" name="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peakersTable" displayName="SpeakersTable" ref="A4:H14" totalsRowShown="0">
  <autoFilter ref="A4:H14" xr:uid="{00000000-0009-0000-0100-000005000000}"/>
  <tableColumns count="8">
    <tableColumn id="1" xr3:uid="{00000000-0010-0000-0400-000001000000}" name="Person ID"/>
    <tableColumn id="2" xr3:uid="{00000000-0010-0000-0400-000002000000}" name="Name"/>
    <tableColumn id="3" xr3:uid="{00000000-0010-0000-0400-000003000000}" name="Episode Role"/>
    <tableColumn id="4" xr3:uid="{00000000-0010-0000-0400-000004000000}" name="Credentials"/>
    <tableColumn id="5" xr3:uid="{00000000-0010-0000-0400-000005000000}" name="PhD Confirmed?"/>
    <tableColumn id="6" xr3:uid="{00000000-0010-0000-0400-000006000000}" name="Expertise / Position"/>
    <tableColumn id="7" xr3:uid="{00000000-0010-0000-0400-000007000000}" name="Credential Source URL"/>
    <tableColumn id="8" xr3:uid="{00000000-0010-0000-0400-000008000000}" name="Verification Basi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MethodsTable" displayName="MethodsTable" ref="A4:B20" totalsRowShown="0">
  <autoFilter ref="A4:B20" xr:uid="{00000000-0009-0000-0100-000006000000}"/>
  <tableColumns count="2">
    <tableColumn id="1" xr3:uid="{00000000-0010-0000-0500-000001000000}" name="Item"/>
    <tableColumn id="2" xr3:uid="{00000000-0010-0000-0500-000002000000}" name="Documentatio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odebookTable" displayName="CodebookTable" ref="A4:D21" totalsRowShown="0">
  <autoFilter ref="A4:D21" xr:uid="{00000000-0009-0000-0100-000007000000}"/>
  <tableColumns count="4">
    <tableColumn id="1" xr3:uid="{00000000-0010-0000-0600-000001000000}" name="Field"/>
    <tableColumn id="2" xr3:uid="{00000000-0010-0000-0600-000002000000}" name="Definition"/>
    <tableColumn id="3" xr3:uid="{00000000-0010-0000-0600-000003000000}" name="Field Type"/>
    <tableColumn id="4" xr3:uid="{00000000-0010-0000-0600-000004000000}" name="Requiremen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61"/>
  <sheetViews>
    <sheetView showGridLines="0" tabSelected="1" topLeftCell="A226" zoomScale="66" workbookViewId="0">
      <selection sqref="A1:Y1"/>
    </sheetView>
  </sheetViews>
  <sheetFormatPr baseColWidth="10" defaultColWidth="8.83203125" defaultRowHeight="15"/>
  <cols>
    <col min="1" max="1" width="13" customWidth="1"/>
    <col min="2" max="2" width="54" customWidth="1"/>
    <col min="3" max="3" width="72" customWidth="1"/>
    <col min="4" max="4" width="48" customWidth="1"/>
    <col min="5" max="5" width="14" customWidth="1"/>
    <col min="6" max="6" width="48" customWidth="1"/>
    <col min="7" max="7" width="12" customWidth="1"/>
    <col min="8" max="8" width="21" customWidth="1"/>
    <col min="9" max="9" width="22" customWidth="1"/>
    <col min="10" max="10" width="24" customWidth="1"/>
    <col min="11" max="11" width="12" customWidth="1"/>
    <col min="12" max="12" width="25" customWidth="1"/>
    <col min="13" max="13" width="30" customWidth="1"/>
    <col min="14" max="14" width="19" customWidth="1"/>
    <col min="15" max="15" width="22" customWidth="1"/>
    <col min="16" max="16" width="23" customWidth="1"/>
    <col min="17" max="17" width="16" customWidth="1"/>
    <col min="18" max="18" width="22" customWidth="1"/>
    <col min="19" max="19" width="17" customWidth="1"/>
    <col min="20" max="20" width="15" customWidth="1"/>
    <col min="21" max="21" width="34" customWidth="1"/>
    <col min="22" max="22" width="45" customWidth="1"/>
    <col min="23" max="24" width="18" customWidth="1"/>
    <col min="25" max="25" width="38" customWidth="1"/>
  </cols>
  <sheetData>
    <row r="1" spans="1:25" ht="30" customHeight="1">
      <c r="A1" s="22" t="s">
        <v>0</v>
      </c>
      <c r="B1" s="22"/>
      <c r="C1" s="22"/>
      <c r="D1" s="22"/>
      <c r="E1" s="22"/>
      <c r="F1" s="22"/>
      <c r="G1" s="22"/>
      <c r="H1" s="22"/>
      <c r="I1" s="22"/>
      <c r="J1" s="22"/>
      <c r="K1" s="22"/>
      <c r="L1" s="22"/>
      <c r="M1" s="22"/>
      <c r="N1" s="22"/>
      <c r="O1" s="22"/>
      <c r="P1" s="22"/>
      <c r="Q1" s="22"/>
      <c r="R1" s="22"/>
      <c r="S1" s="22"/>
      <c r="T1" s="22"/>
      <c r="U1" s="22"/>
      <c r="V1" s="22"/>
      <c r="W1" s="22"/>
      <c r="X1" s="22"/>
      <c r="Y1" s="22"/>
    </row>
    <row r="2" spans="1:25" ht="42" customHeight="1">
      <c r="A2" s="23" t="s">
        <v>1</v>
      </c>
      <c r="B2" s="23"/>
      <c r="C2" s="23"/>
      <c r="D2" s="23"/>
      <c r="E2" s="23"/>
      <c r="F2" s="23"/>
      <c r="G2" s="23"/>
      <c r="H2" s="23"/>
      <c r="I2" s="23"/>
      <c r="J2" s="23"/>
      <c r="K2" s="23"/>
      <c r="L2" s="23"/>
      <c r="M2" s="23"/>
      <c r="N2" s="23"/>
      <c r="O2" s="23"/>
      <c r="P2" s="23"/>
      <c r="Q2" s="23"/>
      <c r="R2" s="23"/>
      <c r="S2" s="23"/>
      <c r="T2" s="23"/>
      <c r="U2" s="23"/>
      <c r="V2" s="23"/>
      <c r="W2" s="23"/>
      <c r="X2" s="23"/>
      <c r="Y2" s="23"/>
    </row>
    <row r="4" spans="1:25" ht="36" customHeight="1">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c r="S4" s="1" t="s">
        <v>20</v>
      </c>
      <c r="T4" s="1" t="s">
        <v>21</v>
      </c>
      <c r="U4" s="1" t="s">
        <v>22</v>
      </c>
      <c r="V4" s="1" t="s">
        <v>23</v>
      </c>
      <c r="W4" s="1" t="s">
        <v>24</v>
      </c>
      <c r="X4" s="1" t="s">
        <v>25</v>
      </c>
      <c r="Y4" s="1" t="s">
        <v>26</v>
      </c>
    </row>
    <row r="5" spans="1:25" ht="86" customHeight="1">
      <c r="A5" s="2" t="s">
        <v>27</v>
      </c>
      <c r="B5" s="2" t="s">
        <v>28</v>
      </c>
      <c r="C5" s="2" t="s">
        <v>29</v>
      </c>
      <c r="D5" s="2" t="s">
        <v>28</v>
      </c>
      <c r="E5" s="2" t="s">
        <v>30</v>
      </c>
      <c r="F5" s="2" t="s">
        <v>31</v>
      </c>
      <c r="G5" s="2" t="s">
        <v>32</v>
      </c>
      <c r="H5" s="2" t="s">
        <v>33</v>
      </c>
      <c r="I5" s="2" t="s">
        <v>34</v>
      </c>
      <c r="J5" s="2" t="s">
        <v>34</v>
      </c>
      <c r="K5" s="2" t="s">
        <v>35</v>
      </c>
      <c r="L5" s="2" t="s">
        <v>36</v>
      </c>
      <c r="M5" s="2" t="s">
        <v>37</v>
      </c>
      <c r="N5" s="2" t="s">
        <v>38</v>
      </c>
      <c r="O5" s="2" t="s">
        <v>39</v>
      </c>
      <c r="P5" s="2" t="s">
        <v>40</v>
      </c>
      <c r="Q5" s="5">
        <v>0.78</v>
      </c>
      <c r="R5" s="2" t="s">
        <v>41</v>
      </c>
      <c r="S5" s="2" t="s">
        <v>42</v>
      </c>
      <c r="T5" s="2">
        <v>439</v>
      </c>
      <c r="U5" s="2" t="s">
        <v>43</v>
      </c>
      <c r="V5" s="2" t="s">
        <v>44</v>
      </c>
      <c r="W5" s="8"/>
      <c r="X5" s="8" t="s">
        <v>45</v>
      </c>
      <c r="Y5" s="8"/>
    </row>
    <row r="6" spans="1:25" ht="86" customHeight="1">
      <c r="A6" s="3" t="s">
        <v>46</v>
      </c>
      <c r="B6" s="3" t="s">
        <v>47</v>
      </c>
      <c r="C6" s="3" t="s">
        <v>48</v>
      </c>
      <c r="D6" s="3" t="s">
        <v>47</v>
      </c>
      <c r="E6" s="3" t="s">
        <v>30</v>
      </c>
      <c r="F6" s="3" t="s">
        <v>31</v>
      </c>
      <c r="G6" s="3" t="s">
        <v>32</v>
      </c>
      <c r="H6" s="3" t="s">
        <v>33</v>
      </c>
      <c r="I6" s="3" t="s">
        <v>34</v>
      </c>
      <c r="J6" s="3" t="s">
        <v>34</v>
      </c>
      <c r="K6" s="3" t="s">
        <v>35</v>
      </c>
      <c r="L6" s="3" t="s">
        <v>49</v>
      </c>
      <c r="M6" s="3" t="s">
        <v>50</v>
      </c>
      <c r="N6" s="3" t="s">
        <v>38</v>
      </c>
      <c r="O6" s="3" t="s">
        <v>51</v>
      </c>
      <c r="P6" s="3" t="s">
        <v>40</v>
      </c>
      <c r="Q6" s="6">
        <v>0.78</v>
      </c>
      <c r="R6" s="3" t="s">
        <v>41</v>
      </c>
      <c r="S6" s="3" t="s">
        <v>52</v>
      </c>
      <c r="T6" s="3">
        <v>420</v>
      </c>
      <c r="U6" s="3" t="s">
        <v>43</v>
      </c>
      <c r="V6" s="3" t="s">
        <v>44</v>
      </c>
      <c r="W6" s="9"/>
      <c r="X6" s="9" t="s">
        <v>45</v>
      </c>
      <c r="Y6" s="9"/>
    </row>
    <row r="7" spans="1:25" ht="86" customHeight="1">
      <c r="A7" s="3" t="s">
        <v>53</v>
      </c>
      <c r="B7" s="3" t="s">
        <v>54</v>
      </c>
      <c r="C7" s="3" t="s">
        <v>55</v>
      </c>
      <c r="D7" s="3" t="s">
        <v>56</v>
      </c>
      <c r="E7" s="3" t="s">
        <v>51</v>
      </c>
      <c r="F7" s="3" t="s">
        <v>31</v>
      </c>
      <c r="G7" s="3" t="s">
        <v>32</v>
      </c>
      <c r="H7" s="3" t="s">
        <v>33</v>
      </c>
      <c r="I7" s="3" t="s">
        <v>34</v>
      </c>
      <c r="J7" s="3" t="s">
        <v>34</v>
      </c>
      <c r="K7" s="3" t="s">
        <v>35</v>
      </c>
      <c r="L7" s="3" t="s">
        <v>57</v>
      </c>
      <c r="M7" s="3"/>
      <c r="N7" s="3" t="s">
        <v>38</v>
      </c>
      <c r="O7" s="3" t="s">
        <v>51</v>
      </c>
      <c r="P7" s="3" t="s">
        <v>40</v>
      </c>
      <c r="Q7" s="6">
        <v>0.78</v>
      </c>
      <c r="R7" s="3" t="s">
        <v>41</v>
      </c>
      <c r="S7" s="3" t="s">
        <v>58</v>
      </c>
      <c r="T7" s="3">
        <v>190</v>
      </c>
      <c r="U7" s="3" t="s">
        <v>43</v>
      </c>
      <c r="V7" s="3" t="s">
        <v>44</v>
      </c>
      <c r="W7" s="9"/>
      <c r="X7" s="9" t="s">
        <v>45</v>
      </c>
      <c r="Y7" s="9"/>
    </row>
    <row r="8" spans="1:25" ht="86" customHeight="1">
      <c r="A8" s="3" t="s">
        <v>59</v>
      </c>
      <c r="B8" s="3" t="s">
        <v>60</v>
      </c>
      <c r="C8" s="3" t="s">
        <v>61</v>
      </c>
      <c r="D8" s="3" t="s">
        <v>60</v>
      </c>
      <c r="E8" s="3" t="s">
        <v>30</v>
      </c>
      <c r="F8" s="3" t="s">
        <v>31</v>
      </c>
      <c r="G8" s="3" t="s">
        <v>32</v>
      </c>
      <c r="H8" s="3" t="s">
        <v>33</v>
      </c>
      <c r="I8" s="3" t="s">
        <v>34</v>
      </c>
      <c r="J8" s="3" t="s">
        <v>34</v>
      </c>
      <c r="K8" s="3" t="s">
        <v>35</v>
      </c>
      <c r="L8" s="3" t="s">
        <v>62</v>
      </c>
      <c r="M8" s="3"/>
      <c r="N8" s="3" t="s">
        <v>38</v>
      </c>
      <c r="O8" s="3" t="s">
        <v>39</v>
      </c>
      <c r="P8" s="3" t="s">
        <v>40</v>
      </c>
      <c r="Q8" s="6">
        <v>0.78</v>
      </c>
      <c r="R8" s="3" t="s">
        <v>41</v>
      </c>
      <c r="S8" s="3" t="s">
        <v>63</v>
      </c>
      <c r="T8" s="3">
        <v>448</v>
      </c>
      <c r="U8" s="3" t="s">
        <v>43</v>
      </c>
      <c r="V8" s="3" t="s">
        <v>44</v>
      </c>
      <c r="W8" s="9"/>
      <c r="X8" s="9" t="s">
        <v>45</v>
      </c>
      <c r="Y8" s="9"/>
    </row>
    <row r="9" spans="1:25" ht="86" customHeight="1">
      <c r="A9" s="3" t="s">
        <v>64</v>
      </c>
      <c r="B9" s="3" t="s">
        <v>65</v>
      </c>
      <c r="C9" s="3" t="s">
        <v>66</v>
      </c>
      <c r="D9" s="3" t="s">
        <v>65</v>
      </c>
      <c r="E9" s="3" t="s">
        <v>30</v>
      </c>
      <c r="F9" s="3" t="s">
        <v>67</v>
      </c>
      <c r="G9" s="3" t="s">
        <v>68</v>
      </c>
      <c r="H9" s="3" t="s">
        <v>33</v>
      </c>
      <c r="I9" s="3" t="s">
        <v>69</v>
      </c>
      <c r="J9" s="3" t="s">
        <v>69</v>
      </c>
      <c r="K9" s="3" t="s">
        <v>70</v>
      </c>
      <c r="L9" s="3" t="s">
        <v>71</v>
      </c>
      <c r="M9" s="3" t="s">
        <v>36</v>
      </c>
      <c r="N9" s="3" t="s">
        <v>38</v>
      </c>
      <c r="O9" s="3" t="s">
        <v>51</v>
      </c>
      <c r="P9" s="3" t="s">
        <v>40</v>
      </c>
      <c r="Q9" s="6">
        <v>0.78</v>
      </c>
      <c r="R9" s="3" t="s">
        <v>41</v>
      </c>
      <c r="S9" s="3" t="s">
        <v>72</v>
      </c>
      <c r="T9" s="3">
        <v>41</v>
      </c>
      <c r="U9" s="3" t="s">
        <v>43</v>
      </c>
      <c r="V9" s="3" t="s">
        <v>44</v>
      </c>
      <c r="W9" s="9"/>
      <c r="X9" s="9" t="s">
        <v>45</v>
      </c>
      <c r="Y9" s="9"/>
    </row>
    <row r="10" spans="1:25" ht="86" customHeight="1">
      <c r="A10" s="3" t="s">
        <v>73</v>
      </c>
      <c r="B10" s="3" t="s">
        <v>74</v>
      </c>
      <c r="C10" s="3" t="s">
        <v>75</v>
      </c>
      <c r="D10" s="3" t="s">
        <v>74</v>
      </c>
      <c r="E10" s="3" t="s">
        <v>30</v>
      </c>
      <c r="F10" s="3" t="s">
        <v>67</v>
      </c>
      <c r="G10" s="3" t="s">
        <v>68</v>
      </c>
      <c r="H10" s="3" t="s">
        <v>76</v>
      </c>
      <c r="I10" s="3" t="s">
        <v>34</v>
      </c>
      <c r="J10" s="3" t="s">
        <v>69</v>
      </c>
      <c r="K10" s="3" t="s">
        <v>77</v>
      </c>
      <c r="L10" s="3" t="s">
        <v>71</v>
      </c>
      <c r="M10" s="3" t="s">
        <v>36</v>
      </c>
      <c r="N10" s="3" t="s">
        <v>38</v>
      </c>
      <c r="O10" s="3" t="s">
        <v>39</v>
      </c>
      <c r="P10" s="3" t="s">
        <v>40</v>
      </c>
      <c r="Q10" s="6">
        <v>0.84</v>
      </c>
      <c r="R10" s="3" t="s">
        <v>41</v>
      </c>
      <c r="S10" s="3" t="s">
        <v>78</v>
      </c>
      <c r="T10" s="3">
        <v>424</v>
      </c>
      <c r="U10" s="3" t="s">
        <v>43</v>
      </c>
      <c r="V10" s="3" t="s">
        <v>44</v>
      </c>
      <c r="W10" s="9"/>
      <c r="X10" s="9" t="s">
        <v>45</v>
      </c>
      <c r="Y10" s="9"/>
    </row>
    <row r="11" spans="1:25" ht="86" customHeight="1">
      <c r="A11" s="3" t="s">
        <v>79</v>
      </c>
      <c r="B11" s="3" t="s">
        <v>80</v>
      </c>
      <c r="C11" s="3" t="s">
        <v>81</v>
      </c>
      <c r="D11" s="3" t="s">
        <v>80</v>
      </c>
      <c r="E11" s="3" t="s">
        <v>30</v>
      </c>
      <c r="F11" s="3" t="s">
        <v>67</v>
      </c>
      <c r="G11" s="3" t="s">
        <v>68</v>
      </c>
      <c r="H11" s="3" t="s">
        <v>76</v>
      </c>
      <c r="I11" s="3" t="s">
        <v>34</v>
      </c>
      <c r="J11" s="3" t="s">
        <v>69</v>
      </c>
      <c r="K11" s="3" t="s">
        <v>82</v>
      </c>
      <c r="L11" s="3" t="s">
        <v>36</v>
      </c>
      <c r="M11" s="3"/>
      <c r="N11" s="3" t="s">
        <v>38</v>
      </c>
      <c r="O11" s="3" t="s">
        <v>39</v>
      </c>
      <c r="P11" s="3" t="s">
        <v>40</v>
      </c>
      <c r="Q11" s="6">
        <v>0.84</v>
      </c>
      <c r="R11" s="3" t="s">
        <v>41</v>
      </c>
      <c r="S11" s="3" t="s">
        <v>83</v>
      </c>
      <c r="T11" s="3">
        <v>41</v>
      </c>
      <c r="U11" s="3" t="s">
        <v>43</v>
      </c>
      <c r="V11" s="3" t="s">
        <v>44</v>
      </c>
      <c r="W11" s="9"/>
      <c r="X11" s="9" t="s">
        <v>45</v>
      </c>
      <c r="Y11" s="9"/>
    </row>
    <row r="12" spans="1:25" ht="86" customHeight="1">
      <c r="A12" s="3" t="s">
        <v>84</v>
      </c>
      <c r="B12" s="3" t="s">
        <v>85</v>
      </c>
      <c r="C12" s="3" t="s">
        <v>86</v>
      </c>
      <c r="D12" s="3" t="s">
        <v>85</v>
      </c>
      <c r="E12" s="3" t="s">
        <v>30</v>
      </c>
      <c r="F12" s="3" t="s">
        <v>67</v>
      </c>
      <c r="G12" s="3" t="s">
        <v>68</v>
      </c>
      <c r="H12" s="3" t="s">
        <v>76</v>
      </c>
      <c r="I12" s="3" t="s">
        <v>34</v>
      </c>
      <c r="J12" s="3" t="s">
        <v>69</v>
      </c>
      <c r="K12" s="3" t="s">
        <v>87</v>
      </c>
      <c r="L12" s="3" t="s">
        <v>71</v>
      </c>
      <c r="M12" s="3" t="s">
        <v>50</v>
      </c>
      <c r="N12" s="3" t="s">
        <v>38</v>
      </c>
      <c r="O12" s="3" t="s">
        <v>39</v>
      </c>
      <c r="P12" s="3" t="s">
        <v>40</v>
      </c>
      <c r="Q12" s="6">
        <v>0.84</v>
      </c>
      <c r="R12" s="3" t="s">
        <v>41</v>
      </c>
      <c r="S12" s="3" t="s">
        <v>88</v>
      </c>
      <c r="T12" s="3">
        <v>635</v>
      </c>
      <c r="U12" s="3" t="s">
        <v>43</v>
      </c>
      <c r="V12" s="3" t="s">
        <v>44</v>
      </c>
      <c r="W12" s="9"/>
      <c r="X12" s="9" t="s">
        <v>45</v>
      </c>
      <c r="Y12" s="9"/>
    </row>
    <row r="13" spans="1:25" ht="86" customHeight="1">
      <c r="A13" s="3" t="s">
        <v>89</v>
      </c>
      <c r="B13" s="3" t="s">
        <v>90</v>
      </c>
      <c r="C13" s="3" t="s">
        <v>91</v>
      </c>
      <c r="D13" s="3" t="s">
        <v>90</v>
      </c>
      <c r="E13" s="3" t="s">
        <v>30</v>
      </c>
      <c r="F13" s="3" t="s">
        <v>67</v>
      </c>
      <c r="G13" s="3" t="s">
        <v>68</v>
      </c>
      <c r="H13" s="3" t="s">
        <v>76</v>
      </c>
      <c r="I13" s="3" t="s">
        <v>34</v>
      </c>
      <c r="J13" s="3" t="s">
        <v>69</v>
      </c>
      <c r="K13" s="3" t="s">
        <v>92</v>
      </c>
      <c r="L13" s="3" t="s">
        <v>71</v>
      </c>
      <c r="M13" s="3" t="s">
        <v>93</v>
      </c>
      <c r="N13" s="3" t="s">
        <v>38</v>
      </c>
      <c r="O13" s="3" t="s">
        <v>51</v>
      </c>
      <c r="P13" s="3" t="s">
        <v>40</v>
      </c>
      <c r="Q13" s="6">
        <v>0.84</v>
      </c>
      <c r="R13" s="3" t="s">
        <v>41</v>
      </c>
      <c r="S13" s="3" t="s">
        <v>94</v>
      </c>
      <c r="T13" s="3">
        <v>56</v>
      </c>
      <c r="U13" s="3" t="s">
        <v>43</v>
      </c>
      <c r="V13" s="3" t="s">
        <v>44</v>
      </c>
      <c r="W13" s="9"/>
      <c r="X13" s="9" t="s">
        <v>45</v>
      </c>
      <c r="Y13" s="9"/>
    </row>
    <row r="14" spans="1:25" ht="86" customHeight="1">
      <c r="A14" s="3" t="s">
        <v>95</v>
      </c>
      <c r="B14" s="3" t="s">
        <v>96</v>
      </c>
      <c r="C14" s="3" t="s">
        <v>97</v>
      </c>
      <c r="D14" s="3" t="s">
        <v>96</v>
      </c>
      <c r="E14" s="3" t="s">
        <v>30</v>
      </c>
      <c r="F14" s="3" t="s">
        <v>67</v>
      </c>
      <c r="G14" s="3" t="s">
        <v>68</v>
      </c>
      <c r="H14" s="3" t="s">
        <v>33</v>
      </c>
      <c r="I14" s="3" t="s">
        <v>34</v>
      </c>
      <c r="J14" s="3" t="s">
        <v>34</v>
      </c>
      <c r="K14" s="3" t="s">
        <v>98</v>
      </c>
      <c r="L14" s="3" t="s">
        <v>71</v>
      </c>
      <c r="M14" s="3" t="s">
        <v>99</v>
      </c>
      <c r="N14" s="3" t="s">
        <v>100</v>
      </c>
      <c r="O14" s="3" t="s">
        <v>51</v>
      </c>
      <c r="P14" s="3" t="s">
        <v>40</v>
      </c>
      <c r="Q14" s="6">
        <v>0.78</v>
      </c>
      <c r="R14" s="3" t="s">
        <v>41</v>
      </c>
      <c r="S14" s="3" t="s">
        <v>101</v>
      </c>
      <c r="T14" s="3">
        <v>33</v>
      </c>
      <c r="U14" s="3" t="s">
        <v>43</v>
      </c>
      <c r="V14" s="3" t="s">
        <v>44</v>
      </c>
      <c r="W14" s="9"/>
      <c r="X14" s="9" t="s">
        <v>45</v>
      </c>
      <c r="Y14" s="9"/>
    </row>
    <row r="15" spans="1:25" ht="86" customHeight="1">
      <c r="A15" s="3" t="s">
        <v>102</v>
      </c>
      <c r="B15" s="3" t="s">
        <v>103</v>
      </c>
      <c r="C15" s="3" t="s">
        <v>104</v>
      </c>
      <c r="D15" s="3" t="s">
        <v>103</v>
      </c>
      <c r="E15" s="3" t="s">
        <v>30</v>
      </c>
      <c r="F15" s="3" t="s">
        <v>67</v>
      </c>
      <c r="G15" s="3" t="s">
        <v>68</v>
      </c>
      <c r="H15" s="3" t="s">
        <v>76</v>
      </c>
      <c r="I15" s="3" t="s">
        <v>34</v>
      </c>
      <c r="J15" s="3" t="s">
        <v>69</v>
      </c>
      <c r="K15" s="3" t="s">
        <v>105</v>
      </c>
      <c r="L15" s="3" t="s">
        <v>50</v>
      </c>
      <c r="M15" s="3" t="s">
        <v>106</v>
      </c>
      <c r="N15" s="3" t="s">
        <v>38</v>
      </c>
      <c r="O15" s="3" t="s">
        <v>51</v>
      </c>
      <c r="P15" s="3" t="s">
        <v>40</v>
      </c>
      <c r="Q15" s="6">
        <v>0.84</v>
      </c>
      <c r="R15" s="3" t="s">
        <v>41</v>
      </c>
      <c r="S15" s="3" t="s">
        <v>107</v>
      </c>
      <c r="T15" s="3">
        <v>89</v>
      </c>
      <c r="U15" s="3" t="s">
        <v>43</v>
      </c>
      <c r="V15" s="3" t="s">
        <v>44</v>
      </c>
      <c r="W15" s="9"/>
      <c r="X15" s="9" t="s">
        <v>45</v>
      </c>
      <c r="Y15" s="9"/>
    </row>
    <row r="16" spans="1:25" ht="86" customHeight="1">
      <c r="A16" s="3" t="s">
        <v>108</v>
      </c>
      <c r="B16" s="3" t="s">
        <v>109</v>
      </c>
      <c r="C16" s="3" t="s">
        <v>110</v>
      </c>
      <c r="D16" s="3" t="s">
        <v>109</v>
      </c>
      <c r="E16" s="3" t="s">
        <v>30</v>
      </c>
      <c r="F16" s="3" t="s">
        <v>67</v>
      </c>
      <c r="G16" s="3" t="s">
        <v>68</v>
      </c>
      <c r="H16" s="3" t="s">
        <v>33</v>
      </c>
      <c r="I16" s="3" t="s">
        <v>69</v>
      </c>
      <c r="J16" s="3" t="s">
        <v>69</v>
      </c>
      <c r="K16" s="3" t="s">
        <v>111</v>
      </c>
      <c r="L16" s="3" t="s">
        <v>49</v>
      </c>
      <c r="M16" s="3" t="s">
        <v>112</v>
      </c>
      <c r="N16" s="3" t="s">
        <v>38</v>
      </c>
      <c r="O16" s="3" t="s">
        <v>51</v>
      </c>
      <c r="P16" s="3" t="s">
        <v>40</v>
      </c>
      <c r="Q16" s="6">
        <v>0.78</v>
      </c>
      <c r="R16" s="3" t="s">
        <v>41</v>
      </c>
      <c r="S16" s="3" t="s">
        <v>113</v>
      </c>
      <c r="T16" s="3">
        <v>123</v>
      </c>
      <c r="U16" s="3" t="s">
        <v>43</v>
      </c>
      <c r="V16" s="3" t="s">
        <v>44</v>
      </c>
      <c r="W16" s="9"/>
      <c r="X16" s="9" t="s">
        <v>45</v>
      </c>
      <c r="Y16" s="9"/>
    </row>
    <row r="17" spans="1:25" ht="86" customHeight="1">
      <c r="A17" s="3" t="s">
        <v>114</v>
      </c>
      <c r="B17" s="3" t="s">
        <v>115</v>
      </c>
      <c r="C17" s="3" t="s">
        <v>116</v>
      </c>
      <c r="D17" s="3" t="s">
        <v>115</v>
      </c>
      <c r="E17" s="3" t="s">
        <v>30</v>
      </c>
      <c r="F17" s="3" t="s">
        <v>67</v>
      </c>
      <c r="G17" s="3" t="s">
        <v>68</v>
      </c>
      <c r="H17" s="3" t="s">
        <v>33</v>
      </c>
      <c r="I17" s="3" t="s">
        <v>69</v>
      </c>
      <c r="J17" s="3" t="s">
        <v>69</v>
      </c>
      <c r="K17" s="3" t="s">
        <v>117</v>
      </c>
      <c r="L17" s="3" t="s">
        <v>71</v>
      </c>
      <c r="M17" s="3" t="s">
        <v>50</v>
      </c>
      <c r="N17" s="3" t="s">
        <v>100</v>
      </c>
      <c r="O17" s="3" t="s">
        <v>51</v>
      </c>
      <c r="P17" s="3" t="s">
        <v>40</v>
      </c>
      <c r="Q17" s="6">
        <v>0.78</v>
      </c>
      <c r="R17" s="3" t="s">
        <v>41</v>
      </c>
      <c r="S17" s="3" t="s">
        <v>118</v>
      </c>
      <c r="T17" s="3">
        <v>87</v>
      </c>
      <c r="U17" s="3" t="s">
        <v>43</v>
      </c>
      <c r="V17" s="3" t="s">
        <v>44</v>
      </c>
      <c r="W17" s="9"/>
      <c r="X17" s="9" t="s">
        <v>45</v>
      </c>
      <c r="Y17" s="9"/>
    </row>
    <row r="18" spans="1:25" ht="86" customHeight="1">
      <c r="A18" s="3" t="s">
        <v>119</v>
      </c>
      <c r="B18" s="3" t="s">
        <v>120</v>
      </c>
      <c r="C18" s="3" t="s">
        <v>121</v>
      </c>
      <c r="D18" s="3" t="s">
        <v>120</v>
      </c>
      <c r="E18" s="3" t="s">
        <v>30</v>
      </c>
      <c r="F18" s="3" t="s">
        <v>67</v>
      </c>
      <c r="G18" s="3" t="s">
        <v>68</v>
      </c>
      <c r="H18" s="3" t="s">
        <v>76</v>
      </c>
      <c r="I18" s="3" t="s">
        <v>34</v>
      </c>
      <c r="J18" s="3" t="s">
        <v>69</v>
      </c>
      <c r="K18" s="3" t="s">
        <v>122</v>
      </c>
      <c r="L18" s="3" t="s">
        <v>71</v>
      </c>
      <c r="M18" s="3"/>
      <c r="N18" s="3" t="s">
        <v>38</v>
      </c>
      <c r="O18" s="3" t="s">
        <v>51</v>
      </c>
      <c r="P18" s="3" t="s">
        <v>40</v>
      </c>
      <c r="Q18" s="6">
        <v>0.84</v>
      </c>
      <c r="R18" s="3" t="s">
        <v>41</v>
      </c>
      <c r="S18" s="3" t="s">
        <v>123</v>
      </c>
      <c r="T18" s="3">
        <v>55</v>
      </c>
      <c r="U18" s="3" t="s">
        <v>43</v>
      </c>
      <c r="V18" s="3" t="s">
        <v>44</v>
      </c>
      <c r="W18" s="9"/>
      <c r="X18" s="9" t="s">
        <v>45</v>
      </c>
      <c r="Y18" s="9"/>
    </row>
    <row r="19" spans="1:25" ht="86" customHeight="1">
      <c r="A19" s="3" t="s">
        <v>124</v>
      </c>
      <c r="B19" s="3" t="s">
        <v>125</v>
      </c>
      <c r="C19" s="3" t="s">
        <v>126</v>
      </c>
      <c r="D19" s="3" t="s">
        <v>125</v>
      </c>
      <c r="E19" s="3" t="s">
        <v>30</v>
      </c>
      <c r="F19" s="3" t="s">
        <v>67</v>
      </c>
      <c r="G19" s="3" t="s">
        <v>68</v>
      </c>
      <c r="H19" s="3" t="s">
        <v>76</v>
      </c>
      <c r="I19" s="3" t="s">
        <v>34</v>
      </c>
      <c r="J19" s="3" t="s">
        <v>69</v>
      </c>
      <c r="K19" s="3" t="s">
        <v>127</v>
      </c>
      <c r="L19" s="3" t="s">
        <v>71</v>
      </c>
      <c r="M19" s="3" t="s">
        <v>128</v>
      </c>
      <c r="N19" s="3" t="s">
        <v>38</v>
      </c>
      <c r="O19" s="3" t="s">
        <v>51</v>
      </c>
      <c r="P19" s="3" t="s">
        <v>40</v>
      </c>
      <c r="Q19" s="6">
        <v>0.84</v>
      </c>
      <c r="R19" s="3" t="s">
        <v>41</v>
      </c>
      <c r="S19" s="3" t="s">
        <v>129</v>
      </c>
      <c r="T19" s="3">
        <v>216</v>
      </c>
      <c r="U19" s="3" t="s">
        <v>43</v>
      </c>
      <c r="V19" s="3" t="s">
        <v>44</v>
      </c>
      <c r="W19" s="9"/>
      <c r="X19" s="9" t="s">
        <v>45</v>
      </c>
      <c r="Y19" s="9"/>
    </row>
    <row r="20" spans="1:25" ht="86" customHeight="1">
      <c r="A20" s="3" t="s">
        <v>130</v>
      </c>
      <c r="B20" s="3" t="s">
        <v>131</v>
      </c>
      <c r="C20" s="3" t="s">
        <v>132</v>
      </c>
      <c r="D20" s="3" t="s">
        <v>131</v>
      </c>
      <c r="E20" s="3" t="s">
        <v>30</v>
      </c>
      <c r="F20" s="3" t="s">
        <v>67</v>
      </c>
      <c r="G20" s="3" t="s">
        <v>68</v>
      </c>
      <c r="H20" s="3" t="s">
        <v>76</v>
      </c>
      <c r="I20" s="3" t="s">
        <v>34</v>
      </c>
      <c r="J20" s="3" t="s">
        <v>69</v>
      </c>
      <c r="K20" s="3" t="s">
        <v>133</v>
      </c>
      <c r="L20" s="3" t="s">
        <v>49</v>
      </c>
      <c r="M20" s="3" t="s">
        <v>112</v>
      </c>
      <c r="N20" s="3" t="s">
        <v>38</v>
      </c>
      <c r="O20" s="3" t="s">
        <v>51</v>
      </c>
      <c r="P20" s="3" t="s">
        <v>40</v>
      </c>
      <c r="Q20" s="6">
        <v>0.84</v>
      </c>
      <c r="R20" s="3" t="s">
        <v>41</v>
      </c>
      <c r="S20" s="3" t="s">
        <v>134</v>
      </c>
      <c r="T20" s="3">
        <v>200</v>
      </c>
      <c r="U20" s="3" t="s">
        <v>43</v>
      </c>
      <c r="V20" s="3" t="s">
        <v>44</v>
      </c>
      <c r="W20" s="9"/>
      <c r="X20" s="9" t="s">
        <v>45</v>
      </c>
      <c r="Y20" s="9"/>
    </row>
    <row r="21" spans="1:25" ht="86" customHeight="1">
      <c r="A21" s="3" t="s">
        <v>135</v>
      </c>
      <c r="B21" s="3" t="s">
        <v>136</v>
      </c>
      <c r="C21" s="3" t="s">
        <v>137</v>
      </c>
      <c r="D21" s="3" t="s">
        <v>136</v>
      </c>
      <c r="E21" s="3" t="s">
        <v>30</v>
      </c>
      <c r="F21" s="3" t="s">
        <v>67</v>
      </c>
      <c r="G21" s="3" t="s">
        <v>68</v>
      </c>
      <c r="H21" s="3" t="s">
        <v>33</v>
      </c>
      <c r="I21" s="3" t="s">
        <v>69</v>
      </c>
      <c r="J21" s="3" t="s">
        <v>69</v>
      </c>
      <c r="K21" s="3" t="s">
        <v>133</v>
      </c>
      <c r="L21" s="3" t="s">
        <v>49</v>
      </c>
      <c r="M21" s="3"/>
      <c r="N21" s="3" t="s">
        <v>38</v>
      </c>
      <c r="O21" s="3" t="s">
        <v>51</v>
      </c>
      <c r="P21" s="3" t="s">
        <v>40</v>
      </c>
      <c r="Q21" s="6">
        <v>0.78</v>
      </c>
      <c r="R21" s="3" t="s">
        <v>41</v>
      </c>
      <c r="S21" s="3" t="s">
        <v>138</v>
      </c>
      <c r="T21" s="3">
        <v>26</v>
      </c>
      <c r="U21" s="3" t="s">
        <v>43</v>
      </c>
      <c r="V21" s="3" t="s">
        <v>44</v>
      </c>
      <c r="W21" s="9"/>
      <c r="X21" s="9" t="s">
        <v>45</v>
      </c>
      <c r="Y21" s="9"/>
    </row>
    <row r="22" spans="1:25" ht="86" customHeight="1">
      <c r="A22" s="3" t="s">
        <v>139</v>
      </c>
      <c r="B22" s="3" t="s">
        <v>140</v>
      </c>
      <c r="C22" s="3" t="s">
        <v>141</v>
      </c>
      <c r="D22" s="3" t="s">
        <v>140</v>
      </c>
      <c r="E22" s="3" t="s">
        <v>30</v>
      </c>
      <c r="F22" s="3" t="s">
        <v>67</v>
      </c>
      <c r="G22" s="3" t="s">
        <v>68</v>
      </c>
      <c r="H22" s="3" t="s">
        <v>76</v>
      </c>
      <c r="I22" s="3" t="s">
        <v>34</v>
      </c>
      <c r="J22" s="3" t="s">
        <v>69</v>
      </c>
      <c r="K22" s="3" t="s">
        <v>142</v>
      </c>
      <c r="L22" s="3" t="s">
        <v>36</v>
      </c>
      <c r="M22" s="3" t="s">
        <v>143</v>
      </c>
      <c r="N22" s="3" t="s">
        <v>38</v>
      </c>
      <c r="O22" s="3" t="s">
        <v>51</v>
      </c>
      <c r="P22" s="3" t="s">
        <v>40</v>
      </c>
      <c r="Q22" s="6">
        <v>0.84</v>
      </c>
      <c r="R22" s="3" t="s">
        <v>41</v>
      </c>
      <c r="S22" s="3" t="s">
        <v>144</v>
      </c>
      <c r="T22" s="3">
        <v>205</v>
      </c>
      <c r="U22" s="3" t="s">
        <v>43</v>
      </c>
      <c r="V22" s="3" t="s">
        <v>44</v>
      </c>
      <c r="W22" s="9"/>
      <c r="X22" s="9" t="s">
        <v>45</v>
      </c>
      <c r="Y22" s="9"/>
    </row>
    <row r="23" spans="1:25" ht="86" customHeight="1">
      <c r="A23" s="3" t="s">
        <v>145</v>
      </c>
      <c r="B23" s="3" t="s">
        <v>146</v>
      </c>
      <c r="C23" s="3" t="s">
        <v>147</v>
      </c>
      <c r="D23" s="3" t="s">
        <v>146</v>
      </c>
      <c r="E23" s="3" t="s">
        <v>30</v>
      </c>
      <c r="F23" s="3" t="s">
        <v>67</v>
      </c>
      <c r="G23" s="3" t="s">
        <v>68</v>
      </c>
      <c r="H23" s="3" t="s">
        <v>76</v>
      </c>
      <c r="I23" s="3" t="s">
        <v>34</v>
      </c>
      <c r="J23" s="3" t="s">
        <v>69</v>
      </c>
      <c r="K23" s="3" t="s">
        <v>148</v>
      </c>
      <c r="L23" s="3" t="s">
        <v>49</v>
      </c>
      <c r="M23" s="3" t="s">
        <v>149</v>
      </c>
      <c r="N23" s="3" t="s">
        <v>100</v>
      </c>
      <c r="O23" s="3" t="s">
        <v>51</v>
      </c>
      <c r="P23" s="3" t="s">
        <v>40</v>
      </c>
      <c r="Q23" s="6">
        <v>0.84</v>
      </c>
      <c r="R23" s="3" t="s">
        <v>41</v>
      </c>
      <c r="S23" s="3" t="s">
        <v>150</v>
      </c>
      <c r="T23" s="3">
        <v>93</v>
      </c>
      <c r="U23" s="3" t="s">
        <v>43</v>
      </c>
      <c r="V23" s="3" t="s">
        <v>44</v>
      </c>
      <c r="W23" s="9"/>
      <c r="X23" s="9" t="s">
        <v>45</v>
      </c>
      <c r="Y23" s="9"/>
    </row>
    <row r="24" spans="1:25" ht="86" customHeight="1">
      <c r="A24" s="3" t="s">
        <v>151</v>
      </c>
      <c r="B24" s="3" t="s">
        <v>152</v>
      </c>
      <c r="C24" s="3" t="s">
        <v>153</v>
      </c>
      <c r="D24" s="3" t="s">
        <v>152</v>
      </c>
      <c r="E24" s="3" t="s">
        <v>30</v>
      </c>
      <c r="F24" s="3" t="s">
        <v>67</v>
      </c>
      <c r="G24" s="3" t="s">
        <v>68</v>
      </c>
      <c r="H24" s="3" t="s">
        <v>76</v>
      </c>
      <c r="I24" s="3" t="s">
        <v>34</v>
      </c>
      <c r="J24" s="3" t="s">
        <v>69</v>
      </c>
      <c r="K24" s="3" t="s">
        <v>154</v>
      </c>
      <c r="L24" s="3" t="s">
        <v>36</v>
      </c>
      <c r="M24" s="3" t="s">
        <v>155</v>
      </c>
      <c r="N24" s="3" t="s">
        <v>38</v>
      </c>
      <c r="O24" s="3" t="s">
        <v>51</v>
      </c>
      <c r="P24" s="3" t="s">
        <v>40</v>
      </c>
      <c r="Q24" s="6">
        <v>0.84</v>
      </c>
      <c r="R24" s="3" t="s">
        <v>41</v>
      </c>
      <c r="S24" s="3" t="s">
        <v>156</v>
      </c>
      <c r="T24" s="3">
        <v>327</v>
      </c>
      <c r="U24" s="3" t="s">
        <v>43</v>
      </c>
      <c r="V24" s="3" t="s">
        <v>44</v>
      </c>
      <c r="W24" s="9"/>
      <c r="X24" s="9" t="s">
        <v>45</v>
      </c>
      <c r="Y24" s="9"/>
    </row>
    <row r="25" spans="1:25" ht="86" customHeight="1">
      <c r="A25" s="3" t="s">
        <v>157</v>
      </c>
      <c r="B25" s="3" t="s">
        <v>158</v>
      </c>
      <c r="C25" s="3" t="s">
        <v>159</v>
      </c>
      <c r="D25" s="3" t="s">
        <v>158</v>
      </c>
      <c r="E25" s="3" t="s">
        <v>30</v>
      </c>
      <c r="F25" s="3" t="s">
        <v>67</v>
      </c>
      <c r="G25" s="3" t="s">
        <v>68</v>
      </c>
      <c r="H25" s="3" t="s">
        <v>76</v>
      </c>
      <c r="I25" s="3" t="s">
        <v>34</v>
      </c>
      <c r="J25" s="3" t="s">
        <v>69</v>
      </c>
      <c r="K25" s="3" t="s">
        <v>160</v>
      </c>
      <c r="L25" s="3" t="s">
        <v>71</v>
      </c>
      <c r="M25" s="3" t="s">
        <v>161</v>
      </c>
      <c r="N25" s="3" t="s">
        <v>38</v>
      </c>
      <c r="O25" s="3" t="s">
        <v>39</v>
      </c>
      <c r="P25" s="3" t="s">
        <v>162</v>
      </c>
      <c r="Q25" s="6">
        <v>0.84</v>
      </c>
      <c r="R25" s="3" t="s">
        <v>41</v>
      </c>
      <c r="S25" s="3" t="s">
        <v>163</v>
      </c>
      <c r="T25" s="3">
        <v>421</v>
      </c>
      <c r="U25" s="3" t="s">
        <v>43</v>
      </c>
      <c r="V25" s="3" t="s">
        <v>44</v>
      </c>
      <c r="W25" s="9"/>
      <c r="X25" s="9" t="s">
        <v>45</v>
      </c>
      <c r="Y25" s="9"/>
    </row>
    <row r="26" spans="1:25" ht="86" customHeight="1">
      <c r="A26" s="3" t="s">
        <v>164</v>
      </c>
      <c r="B26" s="3" t="s">
        <v>165</v>
      </c>
      <c r="C26" s="3" t="s">
        <v>166</v>
      </c>
      <c r="D26" s="3" t="s">
        <v>165</v>
      </c>
      <c r="E26" s="3" t="s">
        <v>30</v>
      </c>
      <c r="F26" s="3" t="s">
        <v>67</v>
      </c>
      <c r="G26" s="3" t="s">
        <v>68</v>
      </c>
      <c r="H26" s="3" t="s">
        <v>76</v>
      </c>
      <c r="I26" s="3" t="s">
        <v>34</v>
      </c>
      <c r="J26" s="3" t="s">
        <v>69</v>
      </c>
      <c r="K26" s="3" t="s">
        <v>167</v>
      </c>
      <c r="L26" s="3" t="s">
        <v>71</v>
      </c>
      <c r="M26" s="3"/>
      <c r="N26" s="3" t="s">
        <v>38</v>
      </c>
      <c r="O26" s="3" t="s">
        <v>51</v>
      </c>
      <c r="P26" s="3" t="s">
        <v>40</v>
      </c>
      <c r="Q26" s="6">
        <v>0.84</v>
      </c>
      <c r="R26" s="3" t="s">
        <v>41</v>
      </c>
      <c r="S26" s="3" t="s">
        <v>168</v>
      </c>
      <c r="T26" s="3">
        <v>104</v>
      </c>
      <c r="U26" s="3" t="s">
        <v>43</v>
      </c>
      <c r="V26" s="3" t="s">
        <v>44</v>
      </c>
      <c r="W26" s="9"/>
      <c r="X26" s="9" t="s">
        <v>45</v>
      </c>
      <c r="Y26" s="9"/>
    </row>
    <row r="27" spans="1:25" ht="86" customHeight="1">
      <c r="A27" s="3" t="s">
        <v>169</v>
      </c>
      <c r="B27" s="3" t="s">
        <v>170</v>
      </c>
      <c r="C27" s="3" t="s">
        <v>171</v>
      </c>
      <c r="D27" s="3" t="s">
        <v>170</v>
      </c>
      <c r="E27" s="3" t="s">
        <v>30</v>
      </c>
      <c r="F27" s="3" t="s">
        <v>67</v>
      </c>
      <c r="G27" s="3" t="s">
        <v>68</v>
      </c>
      <c r="H27" s="3" t="s">
        <v>76</v>
      </c>
      <c r="I27" s="3" t="s">
        <v>34</v>
      </c>
      <c r="J27" s="3" t="s">
        <v>69</v>
      </c>
      <c r="K27" s="3" t="s">
        <v>172</v>
      </c>
      <c r="L27" s="3" t="s">
        <v>71</v>
      </c>
      <c r="M27" s="3" t="s">
        <v>173</v>
      </c>
      <c r="N27" s="3" t="s">
        <v>38</v>
      </c>
      <c r="O27" s="3" t="s">
        <v>51</v>
      </c>
      <c r="P27" s="3" t="s">
        <v>162</v>
      </c>
      <c r="Q27" s="6">
        <v>0.84</v>
      </c>
      <c r="R27" s="3" t="s">
        <v>41</v>
      </c>
      <c r="S27" s="3" t="s">
        <v>174</v>
      </c>
      <c r="T27" s="3">
        <v>158</v>
      </c>
      <c r="U27" s="3" t="s">
        <v>43</v>
      </c>
      <c r="V27" s="3" t="s">
        <v>44</v>
      </c>
      <c r="W27" s="9"/>
      <c r="X27" s="9" t="s">
        <v>45</v>
      </c>
      <c r="Y27" s="9"/>
    </row>
    <row r="28" spans="1:25" ht="86" customHeight="1">
      <c r="A28" s="3" t="s">
        <v>175</v>
      </c>
      <c r="B28" s="3" t="s">
        <v>176</v>
      </c>
      <c r="C28" s="3" t="s">
        <v>177</v>
      </c>
      <c r="D28" s="3" t="s">
        <v>176</v>
      </c>
      <c r="E28" s="3" t="s">
        <v>30</v>
      </c>
      <c r="F28" s="3" t="s">
        <v>67</v>
      </c>
      <c r="G28" s="3" t="s">
        <v>68</v>
      </c>
      <c r="H28" s="3" t="s">
        <v>76</v>
      </c>
      <c r="I28" s="3" t="s">
        <v>34</v>
      </c>
      <c r="J28" s="3" t="s">
        <v>69</v>
      </c>
      <c r="K28" s="3" t="s">
        <v>178</v>
      </c>
      <c r="L28" s="3" t="s">
        <v>71</v>
      </c>
      <c r="M28" s="3" t="s">
        <v>62</v>
      </c>
      <c r="N28" s="3" t="s">
        <v>38</v>
      </c>
      <c r="O28" s="3" t="s">
        <v>51</v>
      </c>
      <c r="P28" s="3" t="s">
        <v>40</v>
      </c>
      <c r="Q28" s="6">
        <v>0.84</v>
      </c>
      <c r="R28" s="3" t="s">
        <v>41</v>
      </c>
      <c r="S28" s="3" t="s">
        <v>179</v>
      </c>
      <c r="T28" s="3">
        <v>293</v>
      </c>
      <c r="U28" s="3" t="s">
        <v>43</v>
      </c>
      <c r="V28" s="3" t="s">
        <v>44</v>
      </c>
      <c r="W28" s="9"/>
      <c r="X28" s="9" t="s">
        <v>45</v>
      </c>
      <c r="Y28" s="9"/>
    </row>
    <row r="29" spans="1:25" ht="86" customHeight="1">
      <c r="A29" s="3" t="s">
        <v>180</v>
      </c>
      <c r="B29" s="3" t="s">
        <v>181</v>
      </c>
      <c r="C29" s="3" t="s">
        <v>182</v>
      </c>
      <c r="D29" s="3" t="s">
        <v>183</v>
      </c>
      <c r="E29" s="3" t="s">
        <v>51</v>
      </c>
      <c r="F29" s="3" t="s">
        <v>67</v>
      </c>
      <c r="G29" s="3" t="s">
        <v>68</v>
      </c>
      <c r="H29" s="3" t="s">
        <v>33</v>
      </c>
      <c r="I29" s="3" t="s">
        <v>69</v>
      </c>
      <c r="J29" s="3" t="s">
        <v>69</v>
      </c>
      <c r="K29" s="3" t="s">
        <v>178</v>
      </c>
      <c r="L29" s="3" t="s">
        <v>71</v>
      </c>
      <c r="M29" s="3" t="s">
        <v>62</v>
      </c>
      <c r="N29" s="3" t="s">
        <v>100</v>
      </c>
      <c r="O29" s="3" t="s">
        <v>51</v>
      </c>
      <c r="P29" s="3" t="s">
        <v>40</v>
      </c>
      <c r="Q29" s="6">
        <v>0.78</v>
      </c>
      <c r="R29" s="3" t="s">
        <v>41</v>
      </c>
      <c r="S29" s="3" t="s">
        <v>184</v>
      </c>
      <c r="T29" s="3">
        <v>172</v>
      </c>
      <c r="U29" s="3" t="s">
        <v>43</v>
      </c>
      <c r="V29" s="3" t="s">
        <v>44</v>
      </c>
      <c r="W29" s="9"/>
      <c r="X29" s="9" t="s">
        <v>45</v>
      </c>
      <c r="Y29" s="9"/>
    </row>
    <row r="30" spans="1:25" ht="86" customHeight="1">
      <c r="A30" s="3" t="s">
        <v>185</v>
      </c>
      <c r="B30" s="3" t="s">
        <v>186</v>
      </c>
      <c r="C30" s="3" t="s">
        <v>187</v>
      </c>
      <c r="D30" s="3" t="s">
        <v>186</v>
      </c>
      <c r="E30" s="3" t="s">
        <v>30</v>
      </c>
      <c r="F30" s="3" t="s">
        <v>67</v>
      </c>
      <c r="G30" s="3" t="s">
        <v>68</v>
      </c>
      <c r="H30" s="3" t="s">
        <v>76</v>
      </c>
      <c r="I30" s="3" t="s">
        <v>34</v>
      </c>
      <c r="J30" s="3" t="s">
        <v>69</v>
      </c>
      <c r="K30" s="3" t="s">
        <v>188</v>
      </c>
      <c r="L30" s="3" t="s">
        <v>71</v>
      </c>
      <c r="M30" s="3"/>
      <c r="N30" s="3" t="s">
        <v>38</v>
      </c>
      <c r="O30" s="3" t="s">
        <v>51</v>
      </c>
      <c r="P30" s="3" t="s">
        <v>40</v>
      </c>
      <c r="Q30" s="6">
        <v>0.84</v>
      </c>
      <c r="R30" s="3" t="s">
        <v>41</v>
      </c>
      <c r="S30" s="3" t="s">
        <v>189</v>
      </c>
      <c r="T30" s="3">
        <v>80</v>
      </c>
      <c r="U30" s="3" t="s">
        <v>43</v>
      </c>
      <c r="V30" s="3" t="s">
        <v>44</v>
      </c>
      <c r="W30" s="9"/>
      <c r="X30" s="9" t="s">
        <v>45</v>
      </c>
      <c r="Y30" s="9"/>
    </row>
    <row r="31" spans="1:25" ht="86" customHeight="1">
      <c r="A31" s="3" t="s">
        <v>190</v>
      </c>
      <c r="B31" s="3" t="s">
        <v>191</v>
      </c>
      <c r="C31" s="3" t="s">
        <v>192</v>
      </c>
      <c r="D31" s="3" t="s">
        <v>191</v>
      </c>
      <c r="E31" s="3" t="s">
        <v>30</v>
      </c>
      <c r="F31" s="3" t="s">
        <v>67</v>
      </c>
      <c r="G31" s="3" t="s">
        <v>68</v>
      </c>
      <c r="H31" s="3" t="s">
        <v>76</v>
      </c>
      <c r="I31" s="3" t="s">
        <v>34</v>
      </c>
      <c r="J31" s="3" t="s">
        <v>69</v>
      </c>
      <c r="K31" s="3" t="s">
        <v>193</v>
      </c>
      <c r="L31" s="3" t="s">
        <v>71</v>
      </c>
      <c r="M31" s="3"/>
      <c r="N31" s="3" t="s">
        <v>38</v>
      </c>
      <c r="O31" s="3" t="s">
        <v>51</v>
      </c>
      <c r="P31" s="3" t="s">
        <v>40</v>
      </c>
      <c r="Q31" s="6">
        <v>0.84</v>
      </c>
      <c r="R31" s="3" t="s">
        <v>41</v>
      </c>
      <c r="S31" s="3" t="s">
        <v>194</v>
      </c>
      <c r="T31" s="3">
        <v>113</v>
      </c>
      <c r="U31" s="3" t="s">
        <v>43</v>
      </c>
      <c r="V31" s="3" t="s">
        <v>44</v>
      </c>
      <c r="W31" s="9"/>
      <c r="X31" s="9" t="s">
        <v>45</v>
      </c>
      <c r="Y31" s="9"/>
    </row>
    <row r="32" spans="1:25" ht="86" customHeight="1">
      <c r="A32" s="3" t="s">
        <v>195</v>
      </c>
      <c r="B32" s="3" t="s">
        <v>196</v>
      </c>
      <c r="C32" s="3" t="s">
        <v>197</v>
      </c>
      <c r="D32" s="3" t="s">
        <v>196</v>
      </c>
      <c r="E32" s="3" t="s">
        <v>30</v>
      </c>
      <c r="F32" s="3" t="s">
        <v>67</v>
      </c>
      <c r="G32" s="3" t="s">
        <v>68</v>
      </c>
      <c r="H32" s="3" t="s">
        <v>76</v>
      </c>
      <c r="I32" s="3" t="s">
        <v>34</v>
      </c>
      <c r="J32" s="3" t="s">
        <v>69</v>
      </c>
      <c r="K32" s="3" t="s">
        <v>198</v>
      </c>
      <c r="L32" s="3" t="s">
        <v>36</v>
      </c>
      <c r="M32" s="3"/>
      <c r="N32" s="3" t="s">
        <v>100</v>
      </c>
      <c r="O32" s="3" t="s">
        <v>51</v>
      </c>
      <c r="P32" s="3" t="s">
        <v>199</v>
      </c>
      <c r="Q32" s="6">
        <v>0.92</v>
      </c>
      <c r="R32" s="3" t="s">
        <v>200</v>
      </c>
      <c r="S32" s="3" t="s">
        <v>201</v>
      </c>
      <c r="T32" s="3">
        <v>32</v>
      </c>
      <c r="U32" s="3" t="s">
        <v>43</v>
      </c>
      <c r="V32" s="3" t="s">
        <v>202</v>
      </c>
      <c r="W32" s="9"/>
      <c r="X32" s="9" t="s">
        <v>45</v>
      </c>
      <c r="Y32" s="9"/>
    </row>
    <row r="33" spans="1:25" ht="86" customHeight="1">
      <c r="A33" s="3" t="s">
        <v>203</v>
      </c>
      <c r="B33" s="3" t="s">
        <v>204</v>
      </c>
      <c r="C33" s="3" t="s">
        <v>205</v>
      </c>
      <c r="D33" s="3" t="s">
        <v>206</v>
      </c>
      <c r="E33" s="3" t="s">
        <v>51</v>
      </c>
      <c r="F33" s="3" t="s">
        <v>67</v>
      </c>
      <c r="G33" s="3" t="s">
        <v>68</v>
      </c>
      <c r="H33" s="3" t="s">
        <v>33</v>
      </c>
      <c r="I33" s="3" t="s">
        <v>69</v>
      </c>
      <c r="J33" s="3" t="s">
        <v>69</v>
      </c>
      <c r="K33" s="3" t="s">
        <v>207</v>
      </c>
      <c r="L33" s="3" t="s">
        <v>36</v>
      </c>
      <c r="M33" s="3" t="s">
        <v>71</v>
      </c>
      <c r="N33" s="3" t="s">
        <v>100</v>
      </c>
      <c r="O33" s="3" t="s">
        <v>51</v>
      </c>
      <c r="P33" s="3" t="s">
        <v>40</v>
      </c>
      <c r="Q33" s="6">
        <v>0.78</v>
      </c>
      <c r="R33" s="3" t="s">
        <v>41</v>
      </c>
      <c r="S33" s="3" t="s">
        <v>208</v>
      </c>
      <c r="T33" s="3">
        <v>131</v>
      </c>
      <c r="U33" s="3" t="s">
        <v>43</v>
      </c>
      <c r="V33" s="3" t="s">
        <v>44</v>
      </c>
      <c r="W33" s="9"/>
      <c r="X33" s="9" t="s">
        <v>45</v>
      </c>
      <c r="Y33" s="9"/>
    </row>
    <row r="34" spans="1:25" ht="86" customHeight="1">
      <c r="A34" s="3" t="s">
        <v>209</v>
      </c>
      <c r="B34" s="3" t="s">
        <v>210</v>
      </c>
      <c r="C34" s="3" t="s">
        <v>211</v>
      </c>
      <c r="D34" s="3" t="s">
        <v>210</v>
      </c>
      <c r="E34" s="3" t="s">
        <v>30</v>
      </c>
      <c r="F34" s="3" t="s">
        <v>67</v>
      </c>
      <c r="G34" s="3" t="s">
        <v>68</v>
      </c>
      <c r="H34" s="3" t="s">
        <v>76</v>
      </c>
      <c r="I34" s="3" t="s">
        <v>34</v>
      </c>
      <c r="J34" s="3" t="s">
        <v>69</v>
      </c>
      <c r="K34" s="3" t="s">
        <v>212</v>
      </c>
      <c r="L34" s="3" t="s">
        <v>71</v>
      </c>
      <c r="M34" s="3"/>
      <c r="N34" s="3" t="s">
        <v>213</v>
      </c>
      <c r="O34" s="3" t="s">
        <v>39</v>
      </c>
      <c r="P34" s="3" t="s">
        <v>199</v>
      </c>
      <c r="Q34" s="6">
        <v>0.92</v>
      </c>
      <c r="R34" s="3" t="s">
        <v>200</v>
      </c>
      <c r="S34" s="3" t="s">
        <v>214</v>
      </c>
      <c r="T34" s="3">
        <v>47</v>
      </c>
      <c r="U34" s="3" t="s">
        <v>43</v>
      </c>
      <c r="V34" s="3" t="s">
        <v>202</v>
      </c>
      <c r="W34" s="9"/>
      <c r="X34" s="9" t="s">
        <v>45</v>
      </c>
      <c r="Y34" s="9"/>
    </row>
    <row r="35" spans="1:25" ht="86" customHeight="1">
      <c r="A35" s="3" t="s">
        <v>215</v>
      </c>
      <c r="B35" s="3" t="s">
        <v>216</v>
      </c>
      <c r="C35" s="3" t="s">
        <v>217</v>
      </c>
      <c r="D35" s="3" t="s">
        <v>216</v>
      </c>
      <c r="E35" s="3" t="s">
        <v>30</v>
      </c>
      <c r="F35" s="3" t="s">
        <v>67</v>
      </c>
      <c r="G35" s="3" t="s">
        <v>68</v>
      </c>
      <c r="H35" s="3" t="s">
        <v>76</v>
      </c>
      <c r="I35" s="3" t="s">
        <v>34</v>
      </c>
      <c r="J35" s="3" t="s">
        <v>69</v>
      </c>
      <c r="K35" s="3" t="s">
        <v>218</v>
      </c>
      <c r="L35" s="3" t="s">
        <v>71</v>
      </c>
      <c r="M35" s="3" t="s">
        <v>219</v>
      </c>
      <c r="N35" s="3" t="s">
        <v>213</v>
      </c>
      <c r="O35" s="3" t="s">
        <v>39</v>
      </c>
      <c r="P35" s="3" t="s">
        <v>199</v>
      </c>
      <c r="Q35" s="6">
        <v>0.92</v>
      </c>
      <c r="R35" s="3" t="s">
        <v>200</v>
      </c>
      <c r="S35" s="3" t="s">
        <v>220</v>
      </c>
      <c r="T35" s="3">
        <v>25</v>
      </c>
      <c r="U35" s="3" t="s">
        <v>43</v>
      </c>
      <c r="V35" s="3" t="s">
        <v>202</v>
      </c>
      <c r="W35" s="9"/>
      <c r="X35" s="9" t="s">
        <v>45</v>
      </c>
      <c r="Y35" s="9"/>
    </row>
    <row r="36" spans="1:25" ht="86" customHeight="1">
      <c r="A36" s="3" t="s">
        <v>221</v>
      </c>
      <c r="B36" s="3" t="s">
        <v>222</v>
      </c>
      <c r="C36" s="3" t="s">
        <v>223</v>
      </c>
      <c r="D36" s="3" t="s">
        <v>222</v>
      </c>
      <c r="E36" s="3" t="s">
        <v>30</v>
      </c>
      <c r="F36" s="3" t="s">
        <v>67</v>
      </c>
      <c r="G36" s="3" t="s">
        <v>68</v>
      </c>
      <c r="H36" s="3" t="s">
        <v>76</v>
      </c>
      <c r="I36" s="3" t="s">
        <v>34</v>
      </c>
      <c r="J36" s="3" t="s">
        <v>69</v>
      </c>
      <c r="K36" s="3" t="s">
        <v>218</v>
      </c>
      <c r="L36" s="3" t="s">
        <v>50</v>
      </c>
      <c r="M36" s="3" t="s">
        <v>71</v>
      </c>
      <c r="N36" s="3" t="s">
        <v>213</v>
      </c>
      <c r="O36" s="3" t="s">
        <v>39</v>
      </c>
      <c r="P36" s="3" t="s">
        <v>199</v>
      </c>
      <c r="Q36" s="6">
        <v>0.84</v>
      </c>
      <c r="R36" s="3" t="s">
        <v>200</v>
      </c>
      <c r="S36" s="3" t="s">
        <v>224</v>
      </c>
      <c r="T36" s="3">
        <v>50</v>
      </c>
      <c r="U36" s="3" t="s">
        <v>43</v>
      </c>
      <c r="V36" s="3" t="s">
        <v>202</v>
      </c>
      <c r="W36" s="9"/>
      <c r="X36" s="9" t="s">
        <v>45</v>
      </c>
      <c r="Y36" s="9"/>
    </row>
    <row r="37" spans="1:25" ht="86" customHeight="1">
      <c r="A37" s="3" t="s">
        <v>225</v>
      </c>
      <c r="B37" s="3" t="s">
        <v>226</v>
      </c>
      <c r="C37" s="3" t="s">
        <v>227</v>
      </c>
      <c r="D37" s="3" t="s">
        <v>226</v>
      </c>
      <c r="E37" s="3" t="s">
        <v>30</v>
      </c>
      <c r="F37" s="3" t="s">
        <v>67</v>
      </c>
      <c r="G37" s="3" t="s">
        <v>68</v>
      </c>
      <c r="H37" s="3" t="s">
        <v>76</v>
      </c>
      <c r="I37" s="3" t="s">
        <v>34</v>
      </c>
      <c r="J37" s="3" t="s">
        <v>69</v>
      </c>
      <c r="K37" s="3" t="s">
        <v>228</v>
      </c>
      <c r="L37" s="3" t="s">
        <v>71</v>
      </c>
      <c r="M37" s="3" t="s">
        <v>219</v>
      </c>
      <c r="N37" s="3" t="s">
        <v>38</v>
      </c>
      <c r="O37" s="3" t="s">
        <v>39</v>
      </c>
      <c r="P37" s="3" t="s">
        <v>162</v>
      </c>
      <c r="Q37" s="6">
        <v>0.84</v>
      </c>
      <c r="R37" s="3" t="s">
        <v>41</v>
      </c>
      <c r="S37" s="3" t="s">
        <v>229</v>
      </c>
      <c r="T37" s="3">
        <v>304</v>
      </c>
      <c r="U37" s="3" t="s">
        <v>43</v>
      </c>
      <c r="V37" s="3" t="s">
        <v>44</v>
      </c>
      <c r="W37" s="9"/>
      <c r="X37" s="9" t="s">
        <v>45</v>
      </c>
      <c r="Y37" s="9"/>
    </row>
    <row r="38" spans="1:25" ht="86" customHeight="1">
      <c r="A38" s="3" t="s">
        <v>230</v>
      </c>
      <c r="B38" s="3" t="s">
        <v>231</v>
      </c>
      <c r="C38" s="3" t="s">
        <v>232</v>
      </c>
      <c r="D38" s="3" t="s">
        <v>233</v>
      </c>
      <c r="E38" s="3" t="s">
        <v>51</v>
      </c>
      <c r="F38" s="3" t="s">
        <v>67</v>
      </c>
      <c r="G38" s="3" t="s">
        <v>68</v>
      </c>
      <c r="H38" s="3" t="s">
        <v>76</v>
      </c>
      <c r="I38" s="3" t="s">
        <v>34</v>
      </c>
      <c r="J38" s="3" t="s">
        <v>69</v>
      </c>
      <c r="K38" s="3" t="s">
        <v>234</v>
      </c>
      <c r="L38" s="3" t="s">
        <v>219</v>
      </c>
      <c r="M38" s="3"/>
      <c r="N38" s="3" t="s">
        <v>235</v>
      </c>
      <c r="O38" s="3" t="s">
        <v>39</v>
      </c>
      <c r="P38" s="3" t="s">
        <v>236</v>
      </c>
      <c r="Q38" s="6">
        <v>0.84</v>
      </c>
      <c r="R38" s="3" t="s">
        <v>200</v>
      </c>
      <c r="S38" s="3" t="s">
        <v>237</v>
      </c>
      <c r="T38" s="3">
        <v>5</v>
      </c>
      <c r="U38" s="3" t="s">
        <v>43</v>
      </c>
      <c r="V38" s="3" t="s">
        <v>202</v>
      </c>
      <c r="W38" s="9"/>
      <c r="X38" s="9" t="s">
        <v>45</v>
      </c>
      <c r="Y38" s="9"/>
    </row>
    <row r="39" spans="1:25" ht="86" customHeight="1">
      <c r="A39" s="3" t="s">
        <v>238</v>
      </c>
      <c r="B39" s="3" t="s">
        <v>239</v>
      </c>
      <c r="C39" s="3" t="s">
        <v>240</v>
      </c>
      <c r="D39" s="3" t="s">
        <v>239</v>
      </c>
      <c r="E39" s="3" t="s">
        <v>30</v>
      </c>
      <c r="F39" s="3" t="s">
        <v>67</v>
      </c>
      <c r="G39" s="3" t="s">
        <v>68</v>
      </c>
      <c r="H39" s="3" t="s">
        <v>76</v>
      </c>
      <c r="I39" s="3" t="s">
        <v>34</v>
      </c>
      <c r="J39" s="3" t="s">
        <v>69</v>
      </c>
      <c r="K39" s="3" t="s">
        <v>241</v>
      </c>
      <c r="L39" s="3" t="s">
        <v>71</v>
      </c>
      <c r="M39" s="3" t="s">
        <v>36</v>
      </c>
      <c r="N39" s="3" t="s">
        <v>213</v>
      </c>
      <c r="O39" s="3" t="s">
        <v>39</v>
      </c>
      <c r="P39" s="3" t="s">
        <v>199</v>
      </c>
      <c r="Q39" s="6">
        <v>0.84</v>
      </c>
      <c r="R39" s="3" t="s">
        <v>200</v>
      </c>
      <c r="S39" s="3" t="s">
        <v>242</v>
      </c>
      <c r="T39" s="3">
        <v>22</v>
      </c>
      <c r="U39" s="3" t="s">
        <v>43</v>
      </c>
      <c r="V39" s="3" t="s">
        <v>202</v>
      </c>
      <c r="W39" s="9"/>
      <c r="X39" s="9" t="s">
        <v>45</v>
      </c>
      <c r="Y39" s="9"/>
    </row>
    <row r="40" spans="1:25" ht="86" customHeight="1">
      <c r="A40" s="3" t="s">
        <v>243</v>
      </c>
      <c r="B40" s="3" t="s">
        <v>244</v>
      </c>
      <c r="C40" s="3" t="s">
        <v>245</v>
      </c>
      <c r="D40" s="3" t="s">
        <v>244</v>
      </c>
      <c r="E40" s="3" t="s">
        <v>30</v>
      </c>
      <c r="F40" s="3" t="s">
        <v>67</v>
      </c>
      <c r="G40" s="3" t="s">
        <v>68</v>
      </c>
      <c r="H40" s="3" t="s">
        <v>76</v>
      </c>
      <c r="I40" s="3" t="s">
        <v>34</v>
      </c>
      <c r="J40" s="3" t="s">
        <v>69</v>
      </c>
      <c r="K40" s="3" t="s">
        <v>246</v>
      </c>
      <c r="L40" s="3" t="s">
        <v>71</v>
      </c>
      <c r="M40" s="3" t="s">
        <v>219</v>
      </c>
      <c r="N40" s="3" t="s">
        <v>235</v>
      </c>
      <c r="O40" s="3" t="s">
        <v>39</v>
      </c>
      <c r="P40" s="3" t="s">
        <v>199</v>
      </c>
      <c r="Q40" s="6">
        <v>0.84</v>
      </c>
      <c r="R40" s="3" t="s">
        <v>200</v>
      </c>
      <c r="S40" s="3" t="s">
        <v>247</v>
      </c>
      <c r="T40" s="3">
        <v>50</v>
      </c>
      <c r="U40" s="3" t="s">
        <v>43</v>
      </c>
      <c r="V40" s="3" t="s">
        <v>202</v>
      </c>
      <c r="W40" s="9"/>
      <c r="X40" s="9" t="s">
        <v>45</v>
      </c>
      <c r="Y40" s="9"/>
    </row>
    <row r="41" spans="1:25" ht="86" customHeight="1">
      <c r="A41" s="3" t="s">
        <v>248</v>
      </c>
      <c r="B41" s="3" t="s">
        <v>249</v>
      </c>
      <c r="C41" s="3" t="s">
        <v>250</v>
      </c>
      <c r="D41" s="3" t="s">
        <v>249</v>
      </c>
      <c r="E41" s="3" t="s">
        <v>30</v>
      </c>
      <c r="F41" s="3" t="s">
        <v>67</v>
      </c>
      <c r="G41" s="3" t="s">
        <v>68</v>
      </c>
      <c r="H41" s="3" t="s">
        <v>76</v>
      </c>
      <c r="I41" s="3" t="s">
        <v>34</v>
      </c>
      <c r="J41" s="3" t="s">
        <v>69</v>
      </c>
      <c r="K41" s="3" t="s">
        <v>246</v>
      </c>
      <c r="L41" s="3" t="s">
        <v>71</v>
      </c>
      <c r="M41" s="3"/>
      <c r="N41" s="3" t="s">
        <v>213</v>
      </c>
      <c r="O41" s="3" t="s">
        <v>39</v>
      </c>
      <c r="P41" s="3" t="s">
        <v>199</v>
      </c>
      <c r="Q41" s="6">
        <v>0.84</v>
      </c>
      <c r="R41" s="3" t="s">
        <v>200</v>
      </c>
      <c r="S41" s="3" t="s">
        <v>251</v>
      </c>
      <c r="T41" s="3">
        <v>17</v>
      </c>
      <c r="U41" s="3" t="s">
        <v>43</v>
      </c>
      <c r="V41" s="3" t="s">
        <v>202</v>
      </c>
      <c r="W41" s="9"/>
      <c r="X41" s="9" t="s">
        <v>45</v>
      </c>
      <c r="Y41" s="9"/>
    </row>
    <row r="42" spans="1:25" ht="86" customHeight="1">
      <c r="A42" s="3" t="s">
        <v>252</v>
      </c>
      <c r="B42" s="3" t="s">
        <v>253</v>
      </c>
      <c r="C42" s="3" t="s">
        <v>254</v>
      </c>
      <c r="D42" s="3" t="s">
        <v>253</v>
      </c>
      <c r="E42" s="3" t="s">
        <v>30</v>
      </c>
      <c r="F42" s="3" t="s">
        <v>67</v>
      </c>
      <c r="G42" s="3" t="s">
        <v>68</v>
      </c>
      <c r="H42" s="3" t="s">
        <v>76</v>
      </c>
      <c r="I42" s="3" t="s">
        <v>34</v>
      </c>
      <c r="J42" s="3" t="s">
        <v>69</v>
      </c>
      <c r="K42" s="3" t="s">
        <v>246</v>
      </c>
      <c r="L42" s="3" t="s">
        <v>71</v>
      </c>
      <c r="M42" s="3" t="s">
        <v>36</v>
      </c>
      <c r="N42" s="3" t="s">
        <v>100</v>
      </c>
      <c r="O42" s="3" t="s">
        <v>39</v>
      </c>
      <c r="P42" s="3" t="s">
        <v>199</v>
      </c>
      <c r="Q42" s="6">
        <v>0.84</v>
      </c>
      <c r="R42" s="3" t="s">
        <v>200</v>
      </c>
      <c r="S42" s="3" t="s">
        <v>255</v>
      </c>
      <c r="T42" s="3">
        <v>23</v>
      </c>
      <c r="U42" s="3" t="s">
        <v>43</v>
      </c>
      <c r="V42" s="3" t="s">
        <v>202</v>
      </c>
      <c r="W42" s="9"/>
      <c r="X42" s="9" t="s">
        <v>45</v>
      </c>
      <c r="Y42" s="9"/>
    </row>
    <row r="43" spans="1:25" ht="86" customHeight="1">
      <c r="A43" s="3" t="s">
        <v>256</v>
      </c>
      <c r="B43" s="3" t="s">
        <v>257</v>
      </c>
      <c r="C43" s="3" t="s">
        <v>258</v>
      </c>
      <c r="D43" s="3" t="s">
        <v>259</v>
      </c>
      <c r="E43" s="3" t="s">
        <v>51</v>
      </c>
      <c r="F43" s="3" t="s">
        <v>67</v>
      </c>
      <c r="G43" s="3" t="s">
        <v>68</v>
      </c>
      <c r="H43" s="3" t="s">
        <v>76</v>
      </c>
      <c r="I43" s="3" t="s">
        <v>34</v>
      </c>
      <c r="J43" s="3" t="s">
        <v>69</v>
      </c>
      <c r="K43" s="3" t="s">
        <v>260</v>
      </c>
      <c r="L43" s="3" t="s">
        <v>50</v>
      </c>
      <c r="M43" s="3"/>
      <c r="N43" s="3" t="s">
        <v>235</v>
      </c>
      <c r="O43" s="3" t="s">
        <v>39</v>
      </c>
      <c r="P43" s="3" t="s">
        <v>199</v>
      </c>
      <c r="Q43" s="6">
        <v>0.84</v>
      </c>
      <c r="R43" s="3" t="s">
        <v>200</v>
      </c>
      <c r="S43" s="3" t="s">
        <v>261</v>
      </c>
      <c r="T43" s="3">
        <v>31</v>
      </c>
      <c r="U43" s="3" t="s">
        <v>43</v>
      </c>
      <c r="V43" s="3" t="s">
        <v>202</v>
      </c>
      <c r="W43" s="9"/>
      <c r="X43" s="9" t="s">
        <v>45</v>
      </c>
      <c r="Y43" s="9"/>
    </row>
    <row r="44" spans="1:25" ht="86" customHeight="1">
      <c r="A44" s="3" t="s">
        <v>262</v>
      </c>
      <c r="B44" s="3" t="s">
        <v>263</v>
      </c>
      <c r="C44" s="3" t="s">
        <v>264</v>
      </c>
      <c r="D44" s="3" t="s">
        <v>265</v>
      </c>
      <c r="E44" s="3" t="s">
        <v>51</v>
      </c>
      <c r="F44" s="3" t="s">
        <v>67</v>
      </c>
      <c r="G44" s="3" t="s">
        <v>68</v>
      </c>
      <c r="H44" s="3" t="s">
        <v>33</v>
      </c>
      <c r="I44" s="3" t="s">
        <v>69</v>
      </c>
      <c r="J44" s="3" t="s">
        <v>69</v>
      </c>
      <c r="K44" s="3" t="s">
        <v>260</v>
      </c>
      <c r="L44" s="3" t="s">
        <v>71</v>
      </c>
      <c r="M44" s="3" t="s">
        <v>99</v>
      </c>
      <c r="N44" s="3" t="s">
        <v>100</v>
      </c>
      <c r="O44" s="3" t="s">
        <v>51</v>
      </c>
      <c r="P44" s="3" t="s">
        <v>40</v>
      </c>
      <c r="Q44" s="6">
        <v>0.78</v>
      </c>
      <c r="R44" s="3" t="s">
        <v>41</v>
      </c>
      <c r="S44" s="3" t="s">
        <v>266</v>
      </c>
      <c r="T44" s="3">
        <v>212</v>
      </c>
      <c r="U44" s="3" t="s">
        <v>43</v>
      </c>
      <c r="V44" s="3" t="s">
        <v>44</v>
      </c>
      <c r="W44" s="9"/>
      <c r="X44" s="9" t="s">
        <v>45</v>
      </c>
      <c r="Y44" s="9"/>
    </row>
    <row r="45" spans="1:25" ht="86" customHeight="1">
      <c r="A45" s="3" t="s">
        <v>267</v>
      </c>
      <c r="B45" s="3" t="s">
        <v>268</v>
      </c>
      <c r="C45" s="3" t="s">
        <v>269</v>
      </c>
      <c r="D45" s="3" t="s">
        <v>268</v>
      </c>
      <c r="E45" s="3" t="s">
        <v>30</v>
      </c>
      <c r="F45" s="3" t="s">
        <v>67</v>
      </c>
      <c r="G45" s="3" t="s">
        <v>68</v>
      </c>
      <c r="H45" s="3" t="s">
        <v>76</v>
      </c>
      <c r="I45" s="3" t="s">
        <v>34</v>
      </c>
      <c r="J45" s="3" t="s">
        <v>69</v>
      </c>
      <c r="K45" s="3" t="s">
        <v>270</v>
      </c>
      <c r="L45" s="3" t="s">
        <v>71</v>
      </c>
      <c r="M45" s="3"/>
      <c r="N45" s="3" t="s">
        <v>213</v>
      </c>
      <c r="O45" s="3" t="s">
        <v>39</v>
      </c>
      <c r="P45" s="3" t="s">
        <v>199</v>
      </c>
      <c r="Q45" s="6">
        <v>0.92</v>
      </c>
      <c r="R45" s="3" t="s">
        <v>200</v>
      </c>
      <c r="S45" s="3" t="s">
        <v>271</v>
      </c>
      <c r="T45" s="3">
        <v>32</v>
      </c>
      <c r="U45" s="3" t="s">
        <v>43</v>
      </c>
      <c r="V45" s="3" t="s">
        <v>202</v>
      </c>
      <c r="W45" s="9"/>
      <c r="X45" s="9" t="s">
        <v>45</v>
      </c>
      <c r="Y45" s="9"/>
    </row>
    <row r="46" spans="1:25" ht="86" customHeight="1">
      <c r="A46" s="3" t="s">
        <v>272</v>
      </c>
      <c r="B46" s="3" t="s">
        <v>273</v>
      </c>
      <c r="C46" s="3" t="s">
        <v>274</v>
      </c>
      <c r="D46" s="3" t="s">
        <v>273</v>
      </c>
      <c r="E46" s="3" t="s">
        <v>30</v>
      </c>
      <c r="F46" s="3" t="s">
        <v>67</v>
      </c>
      <c r="G46" s="3" t="s">
        <v>68</v>
      </c>
      <c r="H46" s="3" t="s">
        <v>76</v>
      </c>
      <c r="I46" s="3" t="s">
        <v>34</v>
      </c>
      <c r="J46" s="3" t="s">
        <v>69</v>
      </c>
      <c r="K46" s="3" t="s">
        <v>270</v>
      </c>
      <c r="L46" s="3" t="s">
        <v>71</v>
      </c>
      <c r="M46" s="3" t="s">
        <v>275</v>
      </c>
      <c r="N46" s="3" t="s">
        <v>38</v>
      </c>
      <c r="O46" s="3" t="s">
        <v>51</v>
      </c>
      <c r="P46" s="3" t="s">
        <v>40</v>
      </c>
      <c r="Q46" s="6">
        <v>0.84</v>
      </c>
      <c r="R46" s="3" t="s">
        <v>41</v>
      </c>
      <c r="S46" s="3" t="s">
        <v>276</v>
      </c>
      <c r="T46" s="3">
        <v>151</v>
      </c>
      <c r="U46" s="3" t="s">
        <v>43</v>
      </c>
      <c r="V46" s="3" t="s">
        <v>44</v>
      </c>
      <c r="W46" s="9"/>
      <c r="X46" s="9" t="s">
        <v>45</v>
      </c>
      <c r="Y46" s="9"/>
    </row>
    <row r="47" spans="1:25" ht="86" customHeight="1">
      <c r="A47" s="3" t="s">
        <v>277</v>
      </c>
      <c r="B47" s="3" t="s">
        <v>278</v>
      </c>
      <c r="C47" s="3" t="s">
        <v>279</v>
      </c>
      <c r="D47" s="3" t="s">
        <v>278</v>
      </c>
      <c r="E47" s="3" t="s">
        <v>30</v>
      </c>
      <c r="F47" s="3" t="s">
        <v>67</v>
      </c>
      <c r="G47" s="3" t="s">
        <v>68</v>
      </c>
      <c r="H47" s="3" t="s">
        <v>33</v>
      </c>
      <c r="I47" s="3" t="s">
        <v>69</v>
      </c>
      <c r="J47" s="3" t="s">
        <v>69</v>
      </c>
      <c r="K47" s="3" t="s">
        <v>280</v>
      </c>
      <c r="L47" s="3" t="s">
        <v>71</v>
      </c>
      <c r="M47" s="3" t="s">
        <v>281</v>
      </c>
      <c r="N47" s="3" t="s">
        <v>38</v>
      </c>
      <c r="O47" s="3" t="s">
        <v>51</v>
      </c>
      <c r="P47" s="3" t="s">
        <v>162</v>
      </c>
      <c r="Q47" s="6">
        <v>0.78</v>
      </c>
      <c r="R47" s="3" t="s">
        <v>41</v>
      </c>
      <c r="S47" s="3" t="s">
        <v>282</v>
      </c>
      <c r="T47" s="3">
        <v>175</v>
      </c>
      <c r="U47" s="3" t="s">
        <v>43</v>
      </c>
      <c r="V47" s="3" t="s">
        <v>44</v>
      </c>
      <c r="W47" s="9"/>
      <c r="X47" s="9" t="s">
        <v>45</v>
      </c>
      <c r="Y47" s="9"/>
    </row>
    <row r="48" spans="1:25" ht="86" customHeight="1">
      <c r="A48" s="3" t="s">
        <v>283</v>
      </c>
      <c r="B48" s="3" t="s">
        <v>284</v>
      </c>
      <c r="C48" s="3" t="s">
        <v>285</v>
      </c>
      <c r="D48" s="3" t="s">
        <v>284</v>
      </c>
      <c r="E48" s="3" t="s">
        <v>30</v>
      </c>
      <c r="F48" s="3" t="s">
        <v>67</v>
      </c>
      <c r="G48" s="3" t="s">
        <v>68</v>
      </c>
      <c r="H48" s="3" t="s">
        <v>76</v>
      </c>
      <c r="I48" s="3" t="s">
        <v>34</v>
      </c>
      <c r="J48" s="3" t="s">
        <v>69</v>
      </c>
      <c r="K48" s="3" t="s">
        <v>286</v>
      </c>
      <c r="L48" s="3" t="s">
        <v>71</v>
      </c>
      <c r="M48" s="3" t="s">
        <v>49</v>
      </c>
      <c r="N48" s="3" t="s">
        <v>213</v>
      </c>
      <c r="O48" s="3" t="s">
        <v>39</v>
      </c>
      <c r="P48" s="3" t="s">
        <v>199</v>
      </c>
      <c r="Q48" s="6">
        <v>0.92</v>
      </c>
      <c r="R48" s="3" t="s">
        <v>200</v>
      </c>
      <c r="S48" s="3" t="s">
        <v>287</v>
      </c>
      <c r="T48" s="3">
        <v>50</v>
      </c>
      <c r="U48" s="3" t="s">
        <v>43</v>
      </c>
      <c r="V48" s="3" t="s">
        <v>202</v>
      </c>
      <c r="W48" s="9"/>
      <c r="X48" s="9" t="s">
        <v>45</v>
      </c>
      <c r="Y48" s="9"/>
    </row>
    <row r="49" spans="1:25" ht="86" customHeight="1">
      <c r="A49" s="3" t="s">
        <v>288</v>
      </c>
      <c r="B49" s="3" t="s">
        <v>289</v>
      </c>
      <c r="C49" s="3" t="s">
        <v>290</v>
      </c>
      <c r="D49" s="3" t="s">
        <v>289</v>
      </c>
      <c r="E49" s="3" t="s">
        <v>30</v>
      </c>
      <c r="F49" s="3" t="s">
        <v>67</v>
      </c>
      <c r="G49" s="3" t="s">
        <v>68</v>
      </c>
      <c r="H49" s="3" t="s">
        <v>76</v>
      </c>
      <c r="I49" s="3" t="s">
        <v>34</v>
      </c>
      <c r="J49" s="3" t="s">
        <v>69</v>
      </c>
      <c r="K49" s="3" t="s">
        <v>286</v>
      </c>
      <c r="L49" s="3" t="s">
        <v>49</v>
      </c>
      <c r="M49" s="3" t="s">
        <v>291</v>
      </c>
      <c r="N49" s="3" t="s">
        <v>100</v>
      </c>
      <c r="O49" s="3" t="s">
        <v>51</v>
      </c>
      <c r="P49" s="3" t="s">
        <v>199</v>
      </c>
      <c r="Q49" s="6">
        <v>0.92</v>
      </c>
      <c r="R49" s="3" t="s">
        <v>200</v>
      </c>
      <c r="S49" s="3" t="s">
        <v>292</v>
      </c>
      <c r="T49" s="3">
        <v>81</v>
      </c>
      <c r="U49" s="3" t="s">
        <v>43</v>
      </c>
      <c r="V49" s="3" t="s">
        <v>202</v>
      </c>
      <c r="W49" s="9"/>
      <c r="X49" s="9" t="s">
        <v>45</v>
      </c>
      <c r="Y49" s="9"/>
    </row>
    <row r="50" spans="1:25" ht="86" customHeight="1">
      <c r="A50" s="3" t="s">
        <v>293</v>
      </c>
      <c r="B50" s="3" t="s">
        <v>294</v>
      </c>
      <c r="C50" s="3" t="s">
        <v>295</v>
      </c>
      <c r="D50" s="3" t="s">
        <v>294</v>
      </c>
      <c r="E50" s="3" t="s">
        <v>30</v>
      </c>
      <c r="F50" s="3" t="s">
        <v>67</v>
      </c>
      <c r="G50" s="3" t="s">
        <v>68</v>
      </c>
      <c r="H50" s="3" t="s">
        <v>76</v>
      </c>
      <c r="I50" s="3" t="s">
        <v>34</v>
      </c>
      <c r="J50" s="3" t="s">
        <v>69</v>
      </c>
      <c r="K50" s="3" t="s">
        <v>286</v>
      </c>
      <c r="L50" s="3" t="s">
        <v>71</v>
      </c>
      <c r="M50" s="3"/>
      <c r="N50" s="3" t="s">
        <v>100</v>
      </c>
      <c r="O50" s="3" t="s">
        <v>39</v>
      </c>
      <c r="P50" s="3" t="s">
        <v>199</v>
      </c>
      <c r="Q50" s="6">
        <v>0.84</v>
      </c>
      <c r="R50" s="3" t="s">
        <v>200</v>
      </c>
      <c r="S50" s="3" t="s">
        <v>296</v>
      </c>
      <c r="T50" s="3">
        <v>15</v>
      </c>
      <c r="U50" s="3" t="s">
        <v>43</v>
      </c>
      <c r="V50" s="3" t="s">
        <v>202</v>
      </c>
      <c r="W50" s="9"/>
      <c r="X50" s="9" t="s">
        <v>45</v>
      </c>
      <c r="Y50" s="9"/>
    </row>
    <row r="51" spans="1:25" ht="86" customHeight="1">
      <c r="A51" s="3" t="s">
        <v>297</v>
      </c>
      <c r="B51" s="3" t="s">
        <v>298</v>
      </c>
      <c r="C51" s="3" t="s">
        <v>299</v>
      </c>
      <c r="D51" s="3" t="s">
        <v>298</v>
      </c>
      <c r="E51" s="3" t="s">
        <v>30</v>
      </c>
      <c r="F51" s="3" t="s">
        <v>300</v>
      </c>
      <c r="G51" s="3" t="s">
        <v>301</v>
      </c>
      <c r="H51" s="3" t="s">
        <v>76</v>
      </c>
      <c r="I51" s="3" t="s">
        <v>34</v>
      </c>
      <c r="J51" s="3" t="s">
        <v>302</v>
      </c>
      <c r="K51" s="3" t="s">
        <v>303</v>
      </c>
      <c r="L51" s="3" t="s">
        <v>49</v>
      </c>
      <c r="M51" s="3" t="s">
        <v>49</v>
      </c>
      <c r="N51" s="3" t="s">
        <v>100</v>
      </c>
      <c r="O51" s="3" t="s">
        <v>51</v>
      </c>
      <c r="P51" s="3" t="s">
        <v>199</v>
      </c>
      <c r="Q51" s="6">
        <v>0.92</v>
      </c>
      <c r="R51" s="3" t="s">
        <v>200</v>
      </c>
      <c r="S51" s="3" t="s">
        <v>304</v>
      </c>
      <c r="T51" s="3">
        <v>55</v>
      </c>
      <c r="U51" s="3" t="s">
        <v>43</v>
      </c>
      <c r="V51" s="3" t="s">
        <v>202</v>
      </c>
      <c r="W51" s="9"/>
      <c r="X51" s="9" t="s">
        <v>45</v>
      </c>
      <c r="Y51" s="9"/>
    </row>
    <row r="52" spans="1:25" ht="86" customHeight="1">
      <c r="A52" s="3" t="s">
        <v>305</v>
      </c>
      <c r="B52" s="3" t="s">
        <v>306</v>
      </c>
      <c r="C52" s="3" t="s">
        <v>307</v>
      </c>
      <c r="D52" s="3" t="s">
        <v>306</v>
      </c>
      <c r="E52" s="3" t="s">
        <v>30</v>
      </c>
      <c r="F52" s="3" t="s">
        <v>300</v>
      </c>
      <c r="G52" s="3" t="s">
        <v>301</v>
      </c>
      <c r="H52" s="3" t="s">
        <v>76</v>
      </c>
      <c r="I52" s="3" t="s">
        <v>34</v>
      </c>
      <c r="J52" s="3" t="s">
        <v>302</v>
      </c>
      <c r="K52" s="3" t="s">
        <v>308</v>
      </c>
      <c r="L52" s="3" t="s">
        <v>49</v>
      </c>
      <c r="M52" s="3" t="s">
        <v>49</v>
      </c>
      <c r="N52" s="3" t="s">
        <v>213</v>
      </c>
      <c r="O52" s="3" t="s">
        <v>39</v>
      </c>
      <c r="P52" s="3" t="s">
        <v>199</v>
      </c>
      <c r="Q52" s="6">
        <v>0.92</v>
      </c>
      <c r="R52" s="3" t="s">
        <v>200</v>
      </c>
      <c r="S52" s="3" t="s">
        <v>309</v>
      </c>
      <c r="T52" s="3">
        <v>47</v>
      </c>
      <c r="U52" s="3" t="s">
        <v>43</v>
      </c>
      <c r="V52" s="3" t="s">
        <v>202</v>
      </c>
      <c r="W52" s="9"/>
      <c r="X52" s="9" t="s">
        <v>45</v>
      </c>
      <c r="Y52" s="9"/>
    </row>
    <row r="53" spans="1:25" ht="86" customHeight="1">
      <c r="A53" s="3" t="s">
        <v>310</v>
      </c>
      <c r="B53" s="3" t="s">
        <v>311</v>
      </c>
      <c r="C53" s="3" t="s">
        <v>312</v>
      </c>
      <c r="D53" s="3" t="s">
        <v>311</v>
      </c>
      <c r="E53" s="3" t="s">
        <v>30</v>
      </c>
      <c r="F53" s="3" t="s">
        <v>300</v>
      </c>
      <c r="G53" s="3" t="s">
        <v>301</v>
      </c>
      <c r="H53" s="3" t="s">
        <v>76</v>
      </c>
      <c r="I53" s="3" t="s">
        <v>34</v>
      </c>
      <c r="J53" s="3" t="s">
        <v>302</v>
      </c>
      <c r="K53" s="3" t="s">
        <v>313</v>
      </c>
      <c r="L53" s="3" t="s">
        <v>50</v>
      </c>
      <c r="M53" s="3"/>
      <c r="N53" s="3" t="s">
        <v>213</v>
      </c>
      <c r="O53" s="3" t="s">
        <v>39</v>
      </c>
      <c r="P53" s="3" t="s">
        <v>199</v>
      </c>
      <c r="Q53" s="6">
        <v>0.92</v>
      </c>
      <c r="R53" s="3" t="s">
        <v>200</v>
      </c>
      <c r="S53" s="3" t="s">
        <v>314</v>
      </c>
      <c r="T53" s="3">
        <v>30</v>
      </c>
      <c r="U53" s="3" t="s">
        <v>43</v>
      </c>
      <c r="V53" s="3" t="s">
        <v>202</v>
      </c>
      <c r="W53" s="9"/>
      <c r="X53" s="9" t="s">
        <v>45</v>
      </c>
      <c r="Y53" s="9"/>
    </row>
    <row r="54" spans="1:25" ht="86" customHeight="1">
      <c r="A54" s="3" t="s">
        <v>315</v>
      </c>
      <c r="B54" s="3" t="s">
        <v>316</v>
      </c>
      <c r="C54" s="3" t="s">
        <v>317</v>
      </c>
      <c r="D54" s="3" t="s">
        <v>318</v>
      </c>
      <c r="E54" s="3" t="s">
        <v>51</v>
      </c>
      <c r="F54" s="3" t="s">
        <v>300</v>
      </c>
      <c r="G54" s="3" t="s">
        <v>301</v>
      </c>
      <c r="H54" s="3" t="s">
        <v>33</v>
      </c>
      <c r="I54" s="3" t="s">
        <v>302</v>
      </c>
      <c r="J54" s="3" t="s">
        <v>302</v>
      </c>
      <c r="K54" s="3" t="s">
        <v>313</v>
      </c>
      <c r="L54" s="3" t="s">
        <v>319</v>
      </c>
      <c r="M54" s="3"/>
      <c r="N54" s="3" t="s">
        <v>100</v>
      </c>
      <c r="O54" s="3" t="s">
        <v>51</v>
      </c>
      <c r="P54" s="3" t="s">
        <v>40</v>
      </c>
      <c r="Q54" s="6">
        <v>0.78</v>
      </c>
      <c r="R54" s="3" t="s">
        <v>41</v>
      </c>
      <c r="S54" s="3" t="s">
        <v>320</v>
      </c>
      <c r="T54" s="3">
        <v>57</v>
      </c>
      <c r="U54" s="3" t="s">
        <v>43</v>
      </c>
      <c r="V54" s="3" t="s">
        <v>44</v>
      </c>
      <c r="W54" s="9"/>
      <c r="X54" s="9" t="s">
        <v>45</v>
      </c>
      <c r="Y54" s="9"/>
    </row>
    <row r="55" spans="1:25" ht="86" customHeight="1">
      <c r="A55" s="3" t="s">
        <v>321</v>
      </c>
      <c r="B55" s="3" t="s">
        <v>322</v>
      </c>
      <c r="C55" s="3" t="s">
        <v>323</v>
      </c>
      <c r="D55" s="3" t="s">
        <v>322</v>
      </c>
      <c r="E55" s="3" t="s">
        <v>30</v>
      </c>
      <c r="F55" s="3" t="s">
        <v>300</v>
      </c>
      <c r="G55" s="3" t="s">
        <v>301</v>
      </c>
      <c r="H55" s="3" t="s">
        <v>76</v>
      </c>
      <c r="I55" s="3" t="s">
        <v>34</v>
      </c>
      <c r="J55" s="3" t="s">
        <v>302</v>
      </c>
      <c r="K55" s="3" t="s">
        <v>324</v>
      </c>
      <c r="L55" s="3" t="s">
        <v>50</v>
      </c>
      <c r="M55" s="3"/>
      <c r="N55" s="3" t="s">
        <v>100</v>
      </c>
      <c r="O55" s="3" t="s">
        <v>51</v>
      </c>
      <c r="P55" s="3" t="s">
        <v>199</v>
      </c>
      <c r="Q55" s="6">
        <v>0.92</v>
      </c>
      <c r="R55" s="3" t="s">
        <v>200</v>
      </c>
      <c r="S55" s="3" t="s">
        <v>325</v>
      </c>
      <c r="T55" s="3">
        <v>54</v>
      </c>
      <c r="U55" s="3" t="s">
        <v>43</v>
      </c>
      <c r="V55" s="3" t="s">
        <v>202</v>
      </c>
      <c r="W55" s="9"/>
      <c r="X55" s="9" t="s">
        <v>45</v>
      </c>
      <c r="Y55" s="9"/>
    </row>
    <row r="56" spans="1:25" ht="86" customHeight="1">
      <c r="A56" s="3" t="s">
        <v>326</v>
      </c>
      <c r="B56" s="3" t="s">
        <v>327</v>
      </c>
      <c r="C56" s="3" t="s">
        <v>328</v>
      </c>
      <c r="D56" s="3" t="s">
        <v>327</v>
      </c>
      <c r="E56" s="3" t="s">
        <v>30</v>
      </c>
      <c r="F56" s="3" t="s">
        <v>300</v>
      </c>
      <c r="G56" s="3" t="s">
        <v>301</v>
      </c>
      <c r="H56" s="3" t="s">
        <v>76</v>
      </c>
      <c r="I56" s="3" t="s">
        <v>34</v>
      </c>
      <c r="J56" s="3" t="s">
        <v>302</v>
      </c>
      <c r="K56" s="3" t="s">
        <v>329</v>
      </c>
      <c r="L56" s="3" t="s">
        <v>57</v>
      </c>
      <c r="M56" s="3" t="s">
        <v>57</v>
      </c>
      <c r="N56" s="3" t="s">
        <v>213</v>
      </c>
      <c r="O56" s="3" t="s">
        <v>39</v>
      </c>
      <c r="P56" s="3" t="s">
        <v>199</v>
      </c>
      <c r="Q56" s="6">
        <v>0.92</v>
      </c>
      <c r="R56" s="3" t="s">
        <v>200</v>
      </c>
      <c r="S56" s="3" t="s">
        <v>330</v>
      </c>
      <c r="T56" s="3">
        <v>45</v>
      </c>
      <c r="U56" s="3" t="s">
        <v>43</v>
      </c>
      <c r="V56" s="3" t="s">
        <v>202</v>
      </c>
      <c r="W56" s="9"/>
      <c r="X56" s="9" t="s">
        <v>45</v>
      </c>
      <c r="Y56" s="9"/>
    </row>
    <row r="57" spans="1:25" ht="86" customHeight="1">
      <c r="A57" s="3" t="s">
        <v>331</v>
      </c>
      <c r="B57" s="3" t="s">
        <v>332</v>
      </c>
      <c r="C57" s="3" t="s">
        <v>333</v>
      </c>
      <c r="D57" s="3" t="s">
        <v>332</v>
      </c>
      <c r="E57" s="3" t="s">
        <v>30</v>
      </c>
      <c r="F57" s="3" t="s">
        <v>300</v>
      </c>
      <c r="G57" s="3" t="s">
        <v>301</v>
      </c>
      <c r="H57" s="3" t="s">
        <v>76</v>
      </c>
      <c r="I57" s="3" t="s">
        <v>34</v>
      </c>
      <c r="J57" s="3" t="s">
        <v>302</v>
      </c>
      <c r="K57" s="3" t="s">
        <v>329</v>
      </c>
      <c r="L57" s="3" t="s">
        <v>62</v>
      </c>
      <c r="M57" s="3"/>
      <c r="N57" s="3" t="s">
        <v>100</v>
      </c>
      <c r="O57" s="3" t="s">
        <v>51</v>
      </c>
      <c r="P57" s="3" t="s">
        <v>199</v>
      </c>
      <c r="Q57" s="6">
        <v>0.92</v>
      </c>
      <c r="R57" s="3" t="s">
        <v>200</v>
      </c>
      <c r="S57" s="3" t="s">
        <v>334</v>
      </c>
      <c r="T57" s="3">
        <v>51</v>
      </c>
      <c r="U57" s="3" t="s">
        <v>43</v>
      </c>
      <c r="V57" s="3" t="s">
        <v>202</v>
      </c>
      <c r="W57" s="9"/>
      <c r="X57" s="9" t="s">
        <v>45</v>
      </c>
      <c r="Y57" s="9"/>
    </row>
    <row r="58" spans="1:25" ht="86" customHeight="1">
      <c r="A58" s="3" t="s">
        <v>335</v>
      </c>
      <c r="B58" s="3" t="s">
        <v>336</v>
      </c>
      <c r="C58" s="3" t="s">
        <v>337</v>
      </c>
      <c r="D58" s="3" t="s">
        <v>336</v>
      </c>
      <c r="E58" s="3" t="s">
        <v>30</v>
      </c>
      <c r="F58" s="3" t="s">
        <v>300</v>
      </c>
      <c r="G58" s="3" t="s">
        <v>301</v>
      </c>
      <c r="H58" s="3" t="s">
        <v>76</v>
      </c>
      <c r="I58" s="3" t="s">
        <v>34</v>
      </c>
      <c r="J58" s="3" t="s">
        <v>302</v>
      </c>
      <c r="K58" s="3" t="s">
        <v>338</v>
      </c>
      <c r="L58" s="3" t="s">
        <v>62</v>
      </c>
      <c r="M58" s="3" t="s">
        <v>50</v>
      </c>
      <c r="N58" s="3" t="s">
        <v>100</v>
      </c>
      <c r="O58" s="3" t="s">
        <v>51</v>
      </c>
      <c r="P58" s="3" t="s">
        <v>199</v>
      </c>
      <c r="Q58" s="6">
        <v>0.92</v>
      </c>
      <c r="R58" s="3" t="s">
        <v>200</v>
      </c>
      <c r="S58" s="3" t="s">
        <v>339</v>
      </c>
      <c r="T58" s="3">
        <v>35</v>
      </c>
      <c r="U58" s="3" t="s">
        <v>43</v>
      </c>
      <c r="V58" s="3" t="s">
        <v>202</v>
      </c>
      <c r="W58" s="9"/>
      <c r="X58" s="9" t="s">
        <v>45</v>
      </c>
      <c r="Y58" s="9"/>
    </row>
    <row r="59" spans="1:25" ht="86" customHeight="1">
      <c r="A59" s="3" t="s">
        <v>340</v>
      </c>
      <c r="B59" s="3" t="s">
        <v>341</v>
      </c>
      <c r="C59" s="3" t="s">
        <v>342</v>
      </c>
      <c r="D59" s="3" t="s">
        <v>341</v>
      </c>
      <c r="E59" s="3" t="s">
        <v>30</v>
      </c>
      <c r="F59" s="3" t="s">
        <v>300</v>
      </c>
      <c r="G59" s="3" t="s">
        <v>301</v>
      </c>
      <c r="H59" s="3" t="s">
        <v>76</v>
      </c>
      <c r="I59" s="3" t="s">
        <v>34</v>
      </c>
      <c r="J59" s="3" t="s">
        <v>302</v>
      </c>
      <c r="K59" s="3" t="s">
        <v>343</v>
      </c>
      <c r="L59" s="3" t="s">
        <v>50</v>
      </c>
      <c r="M59" s="3"/>
      <c r="N59" s="3" t="s">
        <v>100</v>
      </c>
      <c r="O59" s="3" t="s">
        <v>39</v>
      </c>
      <c r="P59" s="3" t="s">
        <v>199</v>
      </c>
      <c r="Q59" s="6">
        <v>0.84</v>
      </c>
      <c r="R59" s="3" t="s">
        <v>200</v>
      </c>
      <c r="S59" s="3" t="s">
        <v>344</v>
      </c>
      <c r="T59" s="3">
        <v>24</v>
      </c>
      <c r="U59" s="3" t="s">
        <v>43</v>
      </c>
      <c r="V59" s="3" t="s">
        <v>202</v>
      </c>
      <c r="W59" s="9"/>
      <c r="X59" s="9" t="s">
        <v>45</v>
      </c>
      <c r="Y59" s="9"/>
    </row>
    <row r="60" spans="1:25" ht="86" customHeight="1">
      <c r="A60" s="3" t="s">
        <v>345</v>
      </c>
      <c r="B60" s="3" t="s">
        <v>346</v>
      </c>
      <c r="C60" s="3" t="s">
        <v>347</v>
      </c>
      <c r="D60" s="3" t="s">
        <v>346</v>
      </c>
      <c r="E60" s="3" t="s">
        <v>30</v>
      </c>
      <c r="F60" s="3" t="s">
        <v>300</v>
      </c>
      <c r="G60" s="3" t="s">
        <v>301</v>
      </c>
      <c r="H60" s="3" t="s">
        <v>76</v>
      </c>
      <c r="I60" s="3" t="s">
        <v>34</v>
      </c>
      <c r="J60" s="3" t="s">
        <v>302</v>
      </c>
      <c r="K60" s="3" t="s">
        <v>348</v>
      </c>
      <c r="L60" s="3" t="s">
        <v>36</v>
      </c>
      <c r="M60" s="3" t="s">
        <v>71</v>
      </c>
      <c r="N60" s="3" t="s">
        <v>100</v>
      </c>
      <c r="O60" s="3" t="s">
        <v>51</v>
      </c>
      <c r="P60" s="3" t="s">
        <v>199</v>
      </c>
      <c r="Q60" s="6">
        <v>0.92</v>
      </c>
      <c r="R60" s="3" t="s">
        <v>200</v>
      </c>
      <c r="S60" s="3" t="s">
        <v>349</v>
      </c>
      <c r="T60" s="3">
        <v>55</v>
      </c>
      <c r="U60" s="3" t="s">
        <v>43</v>
      </c>
      <c r="V60" s="3" t="s">
        <v>202</v>
      </c>
      <c r="W60" s="9"/>
      <c r="X60" s="9" t="s">
        <v>45</v>
      </c>
      <c r="Y60" s="9"/>
    </row>
    <row r="61" spans="1:25" ht="86" customHeight="1">
      <c r="A61" s="3" t="s">
        <v>350</v>
      </c>
      <c r="B61" s="3" t="s">
        <v>351</v>
      </c>
      <c r="C61" s="3" t="s">
        <v>352</v>
      </c>
      <c r="D61" s="3" t="s">
        <v>351</v>
      </c>
      <c r="E61" s="3" t="s">
        <v>30</v>
      </c>
      <c r="F61" s="3" t="s">
        <v>300</v>
      </c>
      <c r="G61" s="3" t="s">
        <v>301</v>
      </c>
      <c r="H61" s="3" t="s">
        <v>76</v>
      </c>
      <c r="I61" s="3" t="s">
        <v>34</v>
      </c>
      <c r="J61" s="3" t="s">
        <v>302</v>
      </c>
      <c r="K61" s="3" t="s">
        <v>353</v>
      </c>
      <c r="L61" s="3" t="s">
        <v>62</v>
      </c>
      <c r="M61" s="3" t="s">
        <v>36</v>
      </c>
      <c r="N61" s="3" t="s">
        <v>100</v>
      </c>
      <c r="O61" s="3" t="s">
        <v>51</v>
      </c>
      <c r="P61" s="3" t="s">
        <v>199</v>
      </c>
      <c r="Q61" s="6">
        <v>0.92</v>
      </c>
      <c r="R61" s="3" t="s">
        <v>200</v>
      </c>
      <c r="S61" s="3" t="s">
        <v>354</v>
      </c>
      <c r="T61" s="3">
        <v>52</v>
      </c>
      <c r="U61" s="3" t="s">
        <v>43</v>
      </c>
      <c r="V61" s="3" t="s">
        <v>202</v>
      </c>
      <c r="W61" s="9"/>
      <c r="X61" s="9" t="s">
        <v>45</v>
      </c>
      <c r="Y61" s="9"/>
    </row>
    <row r="62" spans="1:25" ht="86" customHeight="1">
      <c r="A62" s="3" t="s">
        <v>355</v>
      </c>
      <c r="B62" s="3" t="s">
        <v>356</v>
      </c>
      <c r="C62" s="3" t="s">
        <v>357</v>
      </c>
      <c r="D62" s="3" t="s">
        <v>356</v>
      </c>
      <c r="E62" s="3" t="s">
        <v>30</v>
      </c>
      <c r="F62" s="3" t="s">
        <v>300</v>
      </c>
      <c r="G62" s="3" t="s">
        <v>301</v>
      </c>
      <c r="H62" s="3" t="s">
        <v>33</v>
      </c>
      <c r="I62" s="3" t="s">
        <v>302</v>
      </c>
      <c r="J62" s="3" t="s">
        <v>302</v>
      </c>
      <c r="K62" s="3" t="s">
        <v>353</v>
      </c>
      <c r="L62" s="3" t="s">
        <v>319</v>
      </c>
      <c r="M62" s="3"/>
      <c r="N62" s="3" t="s">
        <v>38</v>
      </c>
      <c r="O62" s="3" t="s">
        <v>51</v>
      </c>
      <c r="P62" s="3" t="s">
        <v>40</v>
      </c>
      <c r="Q62" s="6">
        <v>0.78</v>
      </c>
      <c r="R62" s="3" t="s">
        <v>41</v>
      </c>
      <c r="S62" s="3" t="s">
        <v>358</v>
      </c>
      <c r="T62" s="3">
        <v>34</v>
      </c>
      <c r="U62" s="3" t="s">
        <v>43</v>
      </c>
      <c r="V62" s="3" t="s">
        <v>44</v>
      </c>
      <c r="W62" s="9"/>
      <c r="X62" s="9" t="s">
        <v>45</v>
      </c>
      <c r="Y62" s="9"/>
    </row>
    <row r="63" spans="1:25" ht="86" customHeight="1">
      <c r="A63" s="3" t="s">
        <v>359</v>
      </c>
      <c r="B63" s="3" t="s">
        <v>360</v>
      </c>
      <c r="C63" s="3" t="s">
        <v>361</v>
      </c>
      <c r="D63" s="3" t="s">
        <v>360</v>
      </c>
      <c r="E63" s="3" t="s">
        <v>30</v>
      </c>
      <c r="F63" s="3" t="s">
        <v>300</v>
      </c>
      <c r="G63" s="3" t="s">
        <v>301</v>
      </c>
      <c r="H63" s="3" t="s">
        <v>76</v>
      </c>
      <c r="I63" s="3" t="s">
        <v>34</v>
      </c>
      <c r="J63" s="3" t="s">
        <v>302</v>
      </c>
      <c r="K63" s="3" t="s">
        <v>362</v>
      </c>
      <c r="L63" s="3" t="s">
        <v>50</v>
      </c>
      <c r="M63" s="3" t="s">
        <v>49</v>
      </c>
      <c r="N63" s="3" t="s">
        <v>213</v>
      </c>
      <c r="O63" s="3" t="s">
        <v>39</v>
      </c>
      <c r="P63" s="3" t="s">
        <v>199</v>
      </c>
      <c r="Q63" s="6">
        <v>0.84</v>
      </c>
      <c r="R63" s="3" t="s">
        <v>200</v>
      </c>
      <c r="S63" s="3" t="s">
        <v>363</v>
      </c>
      <c r="T63" s="3">
        <v>17</v>
      </c>
      <c r="U63" s="3" t="s">
        <v>43</v>
      </c>
      <c r="V63" s="3" t="s">
        <v>202</v>
      </c>
      <c r="W63" s="9"/>
      <c r="X63" s="9" t="s">
        <v>45</v>
      </c>
      <c r="Y63" s="9"/>
    </row>
    <row r="64" spans="1:25" ht="86" customHeight="1">
      <c r="A64" s="3" t="s">
        <v>364</v>
      </c>
      <c r="B64" s="3" t="s">
        <v>365</v>
      </c>
      <c r="C64" s="3" t="s">
        <v>366</v>
      </c>
      <c r="D64" s="3" t="s">
        <v>365</v>
      </c>
      <c r="E64" s="3" t="s">
        <v>30</v>
      </c>
      <c r="F64" s="3" t="s">
        <v>367</v>
      </c>
      <c r="G64" s="3" t="s">
        <v>368</v>
      </c>
      <c r="H64" s="3" t="s">
        <v>76</v>
      </c>
      <c r="I64" s="3" t="s">
        <v>34</v>
      </c>
      <c r="J64" s="3" t="s">
        <v>369</v>
      </c>
      <c r="K64" s="3" t="s">
        <v>370</v>
      </c>
      <c r="L64" s="3" t="s">
        <v>50</v>
      </c>
      <c r="M64" s="3"/>
      <c r="N64" s="3" t="s">
        <v>213</v>
      </c>
      <c r="O64" s="3" t="s">
        <v>39</v>
      </c>
      <c r="P64" s="3" t="s">
        <v>199</v>
      </c>
      <c r="Q64" s="6">
        <v>0.92</v>
      </c>
      <c r="R64" s="3" t="s">
        <v>200</v>
      </c>
      <c r="S64" s="3" t="s">
        <v>371</v>
      </c>
      <c r="T64" s="3">
        <v>30</v>
      </c>
      <c r="U64" s="3" t="s">
        <v>43</v>
      </c>
      <c r="V64" s="3" t="s">
        <v>202</v>
      </c>
      <c r="W64" s="9"/>
      <c r="X64" s="9" t="s">
        <v>45</v>
      </c>
      <c r="Y64" s="9"/>
    </row>
    <row r="65" spans="1:25" ht="86" customHeight="1">
      <c r="A65" s="3" t="s">
        <v>372</v>
      </c>
      <c r="B65" s="3" t="s">
        <v>373</v>
      </c>
      <c r="C65" s="3" t="s">
        <v>374</v>
      </c>
      <c r="D65" s="3" t="s">
        <v>373</v>
      </c>
      <c r="E65" s="3" t="s">
        <v>30</v>
      </c>
      <c r="F65" s="3" t="s">
        <v>367</v>
      </c>
      <c r="G65" s="3" t="s">
        <v>368</v>
      </c>
      <c r="H65" s="3" t="s">
        <v>76</v>
      </c>
      <c r="I65" s="3" t="s">
        <v>34</v>
      </c>
      <c r="J65" s="3" t="s">
        <v>369</v>
      </c>
      <c r="K65" s="3" t="s">
        <v>375</v>
      </c>
      <c r="L65" s="3" t="s">
        <v>50</v>
      </c>
      <c r="M65" s="3"/>
      <c r="N65" s="3" t="s">
        <v>213</v>
      </c>
      <c r="O65" s="3" t="s">
        <v>39</v>
      </c>
      <c r="P65" s="3" t="s">
        <v>199</v>
      </c>
      <c r="Q65" s="6">
        <v>0.84</v>
      </c>
      <c r="R65" s="3" t="s">
        <v>200</v>
      </c>
      <c r="S65" s="3" t="s">
        <v>376</v>
      </c>
      <c r="T65" s="3">
        <v>11</v>
      </c>
      <c r="U65" s="3" t="s">
        <v>43</v>
      </c>
      <c r="V65" s="3" t="s">
        <v>202</v>
      </c>
      <c r="W65" s="9"/>
      <c r="X65" s="9" t="s">
        <v>45</v>
      </c>
      <c r="Y65" s="9"/>
    </row>
    <row r="66" spans="1:25" ht="86" customHeight="1">
      <c r="A66" s="3" t="s">
        <v>377</v>
      </c>
      <c r="B66" s="3" t="s">
        <v>378</v>
      </c>
      <c r="C66" s="3" t="s">
        <v>379</v>
      </c>
      <c r="D66" s="3" t="s">
        <v>378</v>
      </c>
      <c r="E66" s="3" t="s">
        <v>30</v>
      </c>
      <c r="F66" s="3" t="s">
        <v>367</v>
      </c>
      <c r="G66" s="3" t="s">
        <v>368</v>
      </c>
      <c r="H66" s="3" t="s">
        <v>76</v>
      </c>
      <c r="I66" s="3" t="s">
        <v>34</v>
      </c>
      <c r="J66" s="3" t="s">
        <v>369</v>
      </c>
      <c r="K66" s="3" t="s">
        <v>380</v>
      </c>
      <c r="L66" s="3" t="s">
        <v>36</v>
      </c>
      <c r="M66" s="3"/>
      <c r="N66" s="3" t="s">
        <v>38</v>
      </c>
      <c r="O66" s="3" t="s">
        <v>39</v>
      </c>
      <c r="P66" s="3" t="s">
        <v>40</v>
      </c>
      <c r="Q66" s="6">
        <v>0.84</v>
      </c>
      <c r="R66" s="3" t="s">
        <v>41</v>
      </c>
      <c r="S66" s="3" t="s">
        <v>381</v>
      </c>
      <c r="T66" s="3">
        <v>103</v>
      </c>
      <c r="U66" s="3" t="s">
        <v>43</v>
      </c>
      <c r="V66" s="3" t="s">
        <v>44</v>
      </c>
      <c r="W66" s="9"/>
      <c r="X66" s="9" t="s">
        <v>45</v>
      </c>
      <c r="Y66" s="9"/>
    </row>
    <row r="67" spans="1:25" ht="86" customHeight="1">
      <c r="A67" s="3" t="s">
        <v>382</v>
      </c>
      <c r="B67" s="3" t="s">
        <v>383</v>
      </c>
      <c r="C67" s="3" t="s">
        <v>384</v>
      </c>
      <c r="D67" s="3" t="s">
        <v>383</v>
      </c>
      <c r="E67" s="3" t="s">
        <v>30</v>
      </c>
      <c r="F67" s="3" t="s">
        <v>367</v>
      </c>
      <c r="G67" s="3" t="s">
        <v>368</v>
      </c>
      <c r="H67" s="3" t="s">
        <v>76</v>
      </c>
      <c r="I67" s="3" t="s">
        <v>34</v>
      </c>
      <c r="J67" s="3" t="s">
        <v>369</v>
      </c>
      <c r="K67" s="3" t="s">
        <v>385</v>
      </c>
      <c r="L67" s="3" t="s">
        <v>36</v>
      </c>
      <c r="M67" s="3"/>
      <c r="N67" s="3" t="s">
        <v>38</v>
      </c>
      <c r="O67" s="3" t="s">
        <v>39</v>
      </c>
      <c r="P67" s="3" t="s">
        <v>40</v>
      </c>
      <c r="Q67" s="6">
        <v>0.84</v>
      </c>
      <c r="R67" s="3" t="s">
        <v>41</v>
      </c>
      <c r="S67" s="3" t="s">
        <v>386</v>
      </c>
      <c r="T67" s="3">
        <v>280</v>
      </c>
      <c r="U67" s="3" t="s">
        <v>43</v>
      </c>
      <c r="V67" s="3" t="s">
        <v>44</v>
      </c>
      <c r="W67" s="9"/>
      <c r="X67" s="9" t="s">
        <v>45</v>
      </c>
      <c r="Y67" s="9"/>
    </row>
    <row r="68" spans="1:25" ht="86" customHeight="1">
      <c r="A68" s="3" t="s">
        <v>387</v>
      </c>
      <c r="B68" s="3" t="s">
        <v>388</v>
      </c>
      <c r="C68" s="3" t="s">
        <v>389</v>
      </c>
      <c r="D68" s="3" t="s">
        <v>388</v>
      </c>
      <c r="E68" s="3" t="s">
        <v>30</v>
      </c>
      <c r="F68" s="3" t="s">
        <v>367</v>
      </c>
      <c r="G68" s="3" t="s">
        <v>368</v>
      </c>
      <c r="H68" s="3" t="s">
        <v>76</v>
      </c>
      <c r="I68" s="3" t="s">
        <v>34</v>
      </c>
      <c r="J68" s="3" t="s">
        <v>369</v>
      </c>
      <c r="K68" s="3" t="s">
        <v>390</v>
      </c>
      <c r="L68" s="3" t="s">
        <v>50</v>
      </c>
      <c r="M68" s="3"/>
      <c r="N68" s="3" t="s">
        <v>213</v>
      </c>
      <c r="O68" s="3" t="s">
        <v>39</v>
      </c>
      <c r="P68" s="3" t="s">
        <v>199</v>
      </c>
      <c r="Q68" s="6">
        <v>0.84</v>
      </c>
      <c r="R68" s="3" t="s">
        <v>200</v>
      </c>
      <c r="S68" s="3" t="s">
        <v>391</v>
      </c>
      <c r="T68" s="3">
        <v>18</v>
      </c>
      <c r="U68" s="3" t="s">
        <v>43</v>
      </c>
      <c r="V68" s="3" t="s">
        <v>202</v>
      </c>
      <c r="W68" s="9"/>
      <c r="X68" s="9" t="s">
        <v>45</v>
      </c>
      <c r="Y68" s="9"/>
    </row>
    <row r="69" spans="1:25" ht="86" customHeight="1">
      <c r="A69" s="3" t="s">
        <v>392</v>
      </c>
      <c r="B69" s="3" t="s">
        <v>393</v>
      </c>
      <c r="C69" s="3" t="s">
        <v>394</v>
      </c>
      <c r="D69" s="3" t="s">
        <v>393</v>
      </c>
      <c r="E69" s="3" t="s">
        <v>30</v>
      </c>
      <c r="F69" s="3" t="s">
        <v>367</v>
      </c>
      <c r="G69" s="3" t="s">
        <v>368</v>
      </c>
      <c r="H69" s="3" t="s">
        <v>76</v>
      </c>
      <c r="I69" s="3" t="s">
        <v>34</v>
      </c>
      <c r="J69" s="3" t="s">
        <v>369</v>
      </c>
      <c r="K69" s="3" t="s">
        <v>390</v>
      </c>
      <c r="L69" s="3" t="s">
        <v>50</v>
      </c>
      <c r="M69" s="3"/>
      <c r="N69" s="3" t="s">
        <v>213</v>
      </c>
      <c r="O69" s="3" t="s">
        <v>39</v>
      </c>
      <c r="P69" s="3" t="s">
        <v>199</v>
      </c>
      <c r="Q69" s="6">
        <v>0.84</v>
      </c>
      <c r="R69" s="3" t="s">
        <v>200</v>
      </c>
      <c r="S69" s="3" t="s">
        <v>395</v>
      </c>
      <c r="T69" s="3">
        <v>4</v>
      </c>
      <c r="U69" s="3" t="s">
        <v>43</v>
      </c>
      <c r="V69" s="3" t="s">
        <v>202</v>
      </c>
      <c r="W69" s="9"/>
      <c r="X69" s="9" t="s">
        <v>45</v>
      </c>
      <c r="Y69" s="9"/>
    </row>
    <row r="70" spans="1:25" ht="86" customHeight="1">
      <c r="A70" s="3" t="s">
        <v>396</v>
      </c>
      <c r="B70" s="3" t="s">
        <v>397</v>
      </c>
      <c r="C70" s="3" t="s">
        <v>398</v>
      </c>
      <c r="D70" s="3" t="s">
        <v>397</v>
      </c>
      <c r="E70" s="3" t="s">
        <v>30</v>
      </c>
      <c r="F70" s="3" t="s">
        <v>367</v>
      </c>
      <c r="G70" s="3" t="s">
        <v>368</v>
      </c>
      <c r="H70" s="3" t="s">
        <v>76</v>
      </c>
      <c r="I70" s="3" t="s">
        <v>34</v>
      </c>
      <c r="J70" s="3" t="s">
        <v>369</v>
      </c>
      <c r="K70" s="3" t="s">
        <v>399</v>
      </c>
      <c r="L70" s="3" t="s">
        <v>319</v>
      </c>
      <c r="M70" s="3"/>
      <c r="N70" s="3" t="s">
        <v>38</v>
      </c>
      <c r="O70" s="3" t="s">
        <v>51</v>
      </c>
      <c r="P70" s="3" t="s">
        <v>40</v>
      </c>
      <c r="Q70" s="6">
        <v>0.84</v>
      </c>
      <c r="R70" s="3" t="s">
        <v>41</v>
      </c>
      <c r="S70" s="3" t="s">
        <v>400</v>
      </c>
      <c r="T70" s="3">
        <v>98</v>
      </c>
      <c r="U70" s="3" t="s">
        <v>43</v>
      </c>
      <c r="V70" s="3" t="s">
        <v>44</v>
      </c>
      <c r="W70" s="9"/>
      <c r="X70" s="9" t="s">
        <v>45</v>
      </c>
      <c r="Y70" s="9"/>
    </row>
    <row r="71" spans="1:25" ht="86" customHeight="1">
      <c r="A71" s="3" t="s">
        <v>401</v>
      </c>
      <c r="B71" s="3" t="s">
        <v>402</v>
      </c>
      <c r="C71" s="3" t="s">
        <v>403</v>
      </c>
      <c r="D71" s="3" t="s">
        <v>402</v>
      </c>
      <c r="E71" s="3" t="s">
        <v>30</v>
      </c>
      <c r="F71" s="3" t="s">
        <v>367</v>
      </c>
      <c r="G71" s="3" t="s">
        <v>368</v>
      </c>
      <c r="H71" s="3" t="s">
        <v>76</v>
      </c>
      <c r="I71" s="3" t="s">
        <v>34</v>
      </c>
      <c r="J71" s="3" t="s">
        <v>369</v>
      </c>
      <c r="K71" s="3" t="s">
        <v>404</v>
      </c>
      <c r="L71" s="3" t="s">
        <v>319</v>
      </c>
      <c r="M71" s="3"/>
      <c r="N71" s="3" t="s">
        <v>38</v>
      </c>
      <c r="O71" s="3" t="s">
        <v>51</v>
      </c>
      <c r="P71" s="3" t="s">
        <v>40</v>
      </c>
      <c r="Q71" s="6">
        <v>0.84</v>
      </c>
      <c r="R71" s="3" t="s">
        <v>41</v>
      </c>
      <c r="S71" s="3" t="s">
        <v>405</v>
      </c>
      <c r="T71" s="3">
        <v>42</v>
      </c>
      <c r="U71" s="3" t="s">
        <v>43</v>
      </c>
      <c r="V71" s="3" t="s">
        <v>44</v>
      </c>
      <c r="W71" s="9"/>
      <c r="X71" s="9" t="s">
        <v>45</v>
      </c>
      <c r="Y71" s="9"/>
    </row>
    <row r="72" spans="1:25" ht="86" customHeight="1">
      <c r="A72" s="3" t="s">
        <v>406</v>
      </c>
      <c r="B72" s="3" t="s">
        <v>407</v>
      </c>
      <c r="C72" s="3" t="s">
        <v>408</v>
      </c>
      <c r="D72" s="3" t="s">
        <v>407</v>
      </c>
      <c r="E72" s="3" t="s">
        <v>30</v>
      </c>
      <c r="F72" s="3" t="s">
        <v>367</v>
      </c>
      <c r="G72" s="3" t="s">
        <v>368</v>
      </c>
      <c r="H72" s="3" t="s">
        <v>76</v>
      </c>
      <c r="I72" s="3" t="s">
        <v>34</v>
      </c>
      <c r="J72" s="3" t="s">
        <v>369</v>
      </c>
      <c r="K72" s="3" t="s">
        <v>409</v>
      </c>
      <c r="L72" s="3" t="s">
        <v>319</v>
      </c>
      <c r="M72" s="3"/>
      <c r="N72" s="3" t="s">
        <v>38</v>
      </c>
      <c r="O72" s="3" t="s">
        <v>51</v>
      </c>
      <c r="P72" s="3" t="s">
        <v>40</v>
      </c>
      <c r="Q72" s="6">
        <v>0.84</v>
      </c>
      <c r="R72" s="3" t="s">
        <v>41</v>
      </c>
      <c r="S72" s="3" t="s">
        <v>410</v>
      </c>
      <c r="T72" s="3">
        <v>208</v>
      </c>
      <c r="U72" s="3" t="s">
        <v>43</v>
      </c>
      <c r="V72" s="3" t="s">
        <v>44</v>
      </c>
      <c r="W72" s="9"/>
      <c r="X72" s="9" t="s">
        <v>45</v>
      </c>
      <c r="Y72" s="9"/>
    </row>
    <row r="73" spans="1:25" ht="86" customHeight="1">
      <c r="A73" s="3" t="s">
        <v>411</v>
      </c>
      <c r="B73" s="3" t="s">
        <v>412</v>
      </c>
      <c r="C73" s="3" t="s">
        <v>413</v>
      </c>
      <c r="D73" s="3" t="s">
        <v>412</v>
      </c>
      <c r="E73" s="3" t="s">
        <v>30</v>
      </c>
      <c r="F73" s="3" t="s">
        <v>367</v>
      </c>
      <c r="G73" s="3" t="s">
        <v>368</v>
      </c>
      <c r="H73" s="3" t="s">
        <v>76</v>
      </c>
      <c r="I73" s="3" t="s">
        <v>34</v>
      </c>
      <c r="J73" s="3" t="s">
        <v>369</v>
      </c>
      <c r="K73" s="3" t="s">
        <v>414</v>
      </c>
      <c r="L73" s="3" t="s">
        <v>50</v>
      </c>
      <c r="M73" s="3"/>
      <c r="N73" s="3" t="s">
        <v>100</v>
      </c>
      <c r="O73" s="3" t="s">
        <v>51</v>
      </c>
      <c r="P73" s="3" t="s">
        <v>199</v>
      </c>
      <c r="Q73" s="6">
        <v>0.92</v>
      </c>
      <c r="R73" s="3" t="s">
        <v>200</v>
      </c>
      <c r="S73" s="3" t="s">
        <v>415</v>
      </c>
      <c r="T73" s="3">
        <v>45</v>
      </c>
      <c r="U73" s="3" t="s">
        <v>43</v>
      </c>
      <c r="V73" s="3" t="s">
        <v>202</v>
      </c>
      <c r="W73" s="9"/>
      <c r="X73" s="9" t="s">
        <v>45</v>
      </c>
      <c r="Y73" s="9"/>
    </row>
    <row r="74" spans="1:25" ht="86" customHeight="1">
      <c r="A74" s="3" t="s">
        <v>416</v>
      </c>
      <c r="B74" s="3" t="s">
        <v>417</v>
      </c>
      <c r="C74" s="3" t="s">
        <v>418</v>
      </c>
      <c r="D74" s="3" t="s">
        <v>417</v>
      </c>
      <c r="E74" s="3" t="s">
        <v>30</v>
      </c>
      <c r="F74" s="3" t="s">
        <v>367</v>
      </c>
      <c r="G74" s="3" t="s">
        <v>368</v>
      </c>
      <c r="H74" s="3" t="s">
        <v>76</v>
      </c>
      <c r="I74" s="3" t="s">
        <v>34</v>
      </c>
      <c r="J74" s="3" t="s">
        <v>369</v>
      </c>
      <c r="K74" s="3" t="s">
        <v>419</v>
      </c>
      <c r="L74" s="3" t="s">
        <v>62</v>
      </c>
      <c r="M74" s="3"/>
      <c r="N74" s="3" t="s">
        <v>38</v>
      </c>
      <c r="O74" s="3" t="s">
        <v>51</v>
      </c>
      <c r="P74" s="3" t="s">
        <v>40</v>
      </c>
      <c r="Q74" s="6">
        <v>0.84</v>
      </c>
      <c r="R74" s="3" t="s">
        <v>41</v>
      </c>
      <c r="S74" s="3" t="s">
        <v>420</v>
      </c>
      <c r="T74" s="3">
        <v>82</v>
      </c>
      <c r="U74" s="3" t="s">
        <v>43</v>
      </c>
      <c r="V74" s="3" t="s">
        <v>44</v>
      </c>
      <c r="W74" s="9"/>
      <c r="X74" s="9" t="s">
        <v>45</v>
      </c>
      <c r="Y74" s="9"/>
    </row>
    <row r="75" spans="1:25" ht="86" customHeight="1">
      <c r="A75" s="3" t="s">
        <v>421</v>
      </c>
      <c r="B75" s="3" t="s">
        <v>422</v>
      </c>
      <c r="C75" s="3" t="s">
        <v>423</v>
      </c>
      <c r="D75" s="3" t="s">
        <v>422</v>
      </c>
      <c r="E75" s="3" t="s">
        <v>30</v>
      </c>
      <c r="F75" s="3" t="s">
        <v>367</v>
      </c>
      <c r="G75" s="3" t="s">
        <v>368</v>
      </c>
      <c r="H75" s="3" t="s">
        <v>76</v>
      </c>
      <c r="I75" s="3" t="s">
        <v>34</v>
      </c>
      <c r="J75" s="3" t="s">
        <v>369</v>
      </c>
      <c r="K75" s="3" t="s">
        <v>424</v>
      </c>
      <c r="L75" s="3" t="s">
        <v>50</v>
      </c>
      <c r="M75" s="3"/>
      <c r="N75" s="3" t="s">
        <v>100</v>
      </c>
      <c r="O75" s="3" t="s">
        <v>51</v>
      </c>
      <c r="P75" s="3" t="s">
        <v>199</v>
      </c>
      <c r="Q75" s="6">
        <v>0.92</v>
      </c>
      <c r="R75" s="3" t="s">
        <v>200</v>
      </c>
      <c r="S75" s="3" t="s">
        <v>425</v>
      </c>
      <c r="T75" s="3">
        <v>56</v>
      </c>
      <c r="U75" s="3" t="s">
        <v>43</v>
      </c>
      <c r="V75" s="3" t="s">
        <v>202</v>
      </c>
      <c r="W75" s="9"/>
      <c r="X75" s="9" t="s">
        <v>45</v>
      </c>
      <c r="Y75" s="9"/>
    </row>
    <row r="76" spans="1:25" ht="86" customHeight="1">
      <c r="A76" s="3" t="s">
        <v>426</v>
      </c>
      <c r="B76" s="3" t="s">
        <v>427</v>
      </c>
      <c r="C76" s="3" t="s">
        <v>428</v>
      </c>
      <c r="D76" s="3" t="s">
        <v>427</v>
      </c>
      <c r="E76" s="3" t="s">
        <v>30</v>
      </c>
      <c r="F76" s="3" t="s">
        <v>367</v>
      </c>
      <c r="G76" s="3" t="s">
        <v>368</v>
      </c>
      <c r="H76" s="3" t="s">
        <v>76</v>
      </c>
      <c r="I76" s="3" t="s">
        <v>34</v>
      </c>
      <c r="J76" s="3" t="s">
        <v>369</v>
      </c>
      <c r="K76" s="3" t="s">
        <v>429</v>
      </c>
      <c r="L76" s="3" t="s">
        <v>50</v>
      </c>
      <c r="M76" s="3"/>
      <c r="N76" s="3" t="s">
        <v>100</v>
      </c>
      <c r="O76" s="3" t="s">
        <v>39</v>
      </c>
      <c r="P76" s="3" t="s">
        <v>199</v>
      </c>
      <c r="Q76" s="6">
        <v>0.84</v>
      </c>
      <c r="R76" s="3" t="s">
        <v>200</v>
      </c>
      <c r="S76" s="3" t="s">
        <v>430</v>
      </c>
      <c r="T76" s="3">
        <v>16</v>
      </c>
      <c r="U76" s="3" t="s">
        <v>43</v>
      </c>
      <c r="V76" s="3" t="s">
        <v>202</v>
      </c>
      <c r="W76" s="9"/>
      <c r="X76" s="9" t="s">
        <v>45</v>
      </c>
      <c r="Y76" s="9"/>
    </row>
    <row r="77" spans="1:25" ht="86" customHeight="1">
      <c r="A77" s="3" t="s">
        <v>431</v>
      </c>
      <c r="B77" s="3" t="s">
        <v>432</v>
      </c>
      <c r="C77" s="3" t="s">
        <v>433</v>
      </c>
      <c r="D77" s="3" t="s">
        <v>432</v>
      </c>
      <c r="E77" s="3" t="s">
        <v>30</v>
      </c>
      <c r="F77" s="3" t="s">
        <v>367</v>
      </c>
      <c r="G77" s="3" t="s">
        <v>368</v>
      </c>
      <c r="H77" s="3" t="s">
        <v>76</v>
      </c>
      <c r="I77" s="3" t="s">
        <v>34</v>
      </c>
      <c r="J77" s="3" t="s">
        <v>369</v>
      </c>
      <c r="K77" s="3" t="s">
        <v>434</v>
      </c>
      <c r="L77" s="3" t="s">
        <v>50</v>
      </c>
      <c r="M77" s="3"/>
      <c r="N77" s="3" t="s">
        <v>100</v>
      </c>
      <c r="O77" s="3" t="s">
        <v>39</v>
      </c>
      <c r="P77" s="3" t="s">
        <v>199</v>
      </c>
      <c r="Q77" s="6">
        <v>0.84</v>
      </c>
      <c r="R77" s="3" t="s">
        <v>200</v>
      </c>
      <c r="S77" s="3" t="s">
        <v>435</v>
      </c>
      <c r="T77" s="3">
        <v>13</v>
      </c>
      <c r="U77" s="3" t="s">
        <v>43</v>
      </c>
      <c r="V77" s="3" t="s">
        <v>202</v>
      </c>
      <c r="W77" s="9"/>
      <c r="X77" s="9" t="s">
        <v>45</v>
      </c>
      <c r="Y77" s="9"/>
    </row>
    <row r="78" spans="1:25" ht="86" customHeight="1">
      <c r="A78" s="3" t="s">
        <v>436</v>
      </c>
      <c r="B78" s="3" t="s">
        <v>437</v>
      </c>
      <c r="C78" s="3" t="s">
        <v>438</v>
      </c>
      <c r="D78" s="3" t="s">
        <v>437</v>
      </c>
      <c r="E78" s="3" t="s">
        <v>30</v>
      </c>
      <c r="F78" s="3" t="s">
        <v>367</v>
      </c>
      <c r="G78" s="3" t="s">
        <v>368</v>
      </c>
      <c r="H78" s="3" t="s">
        <v>33</v>
      </c>
      <c r="I78" s="3" t="s">
        <v>369</v>
      </c>
      <c r="J78" s="3" t="s">
        <v>369</v>
      </c>
      <c r="K78" s="3" t="s">
        <v>439</v>
      </c>
      <c r="L78" s="3" t="s">
        <v>319</v>
      </c>
      <c r="M78" s="3"/>
      <c r="N78" s="3" t="s">
        <v>38</v>
      </c>
      <c r="O78" s="3" t="s">
        <v>51</v>
      </c>
      <c r="P78" s="3" t="s">
        <v>40</v>
      </c>
      <c r="Q78" s="6">
        <v>0.78</v>
      </c>
      <c r="R78" s="3" t="s">
        <v>41</v>
      </c>
      <c r="S78" s="3" t="s">
        <v>440</v>
      </c>
      <c r="T78" s="3">
        <v>103</v>
      </c>
      <c r="U78" s="3" t="s">
        <v>43</v>
      </c>
      <c r="V78" s="3" t="s">
        <v>44</v>
      </c>
      <c r="W78" s="9"/>
      <c r="X78" s="9" t="s">
        <v>45</v>
      </c>
      <c r="Y78" s="9"/>
    </row>
    <row r="79" spans="1:25" ht="86" customHeight="1">
      <c r="A79" s="3" t="s">
        <v>441</v>
      </c>
      <c r="B79" s="3" t="s">
        <v>442</v>
      </c>
      <c r="C79" s="3" t="s">
        <v>443</v>
      </c>
      <c r="D79" s="3" t="s">
        <v>442</v>
      </c>
      <c r="E79" s="3" t="s">
        <v>30</v>
      </c>
      <c r="F79" s="3" t="s">
        <v>444</v>
      </c>
      <c r="G79" s="3" t="s">
        <v>445</v>
      </c>
      <c r="H79" s="3" t="s">
        <v>76</v>
      </c>
      <c r="I79" s="3" t="s">
        <v>34</v>
      </c>
      <c r="J79" s="3" t="s">
        <v>446</v>
      </c>
      <c r="K79" s="3" t="s">
        <v>447</v>
      </c>
      <c r="L79" s="3" t="s">
        <v>319</v>
      </c>
      <c r="M79" s="3"/>
      <c r="N79" s="3" t="s">
        <v>38</v>
      </c>
      <c r="O79" s="3" t="s">
        <v>39</v>
      </c>
      <c r="P79" s="3" t="s">
        <v>40</v>
      </c>
      <c r="Q79" s="6">
        <v>0.84</v>
      </c>
      <c r="R79" s="3" t="s">
        <v>41</v>
      </c>
      <c r="S79" s="3" t="s">
        <v>448</v>
      </c>
      <c r="T79" s="3">
        <v>406</v>
      </c>
      <c r="U79" s="3" t="s">
        <v>43</v>
      </c>
      <c r="V79" s="3" t="s">
        <v>44</v>
      </c>
      <c r="W79" s="9"/>
      <c r="X79" s="9" t="s">
        <v>45</v>
      </c>
      <c r="Y79" s="9"/>
    </row>
    <row r="80" spans="1:25" ht="86" customHeight="1">
      <c r="A80" s="3" t="s">
        <v>449</v>
      </c>
      <c r="B80" s="3" t="s">
        <v>450</v>
      </c>
      <c r="C80" s="3" t="s">
        <v>451</v>
      </c>
      <c r="D80" s="3" t="s">
        <v>450</v>
      </c>
      <c r="E80" s="3" t="s">
        <v>30</v>
      </c>
      <c r="F80" s="3" t="s">
        <v>444</v>
      </c>
      <c r="G80" s="3" t="s">
        <v>445</v>
      </c>
      <c r="H80" s="3" t="s">
        <v>76</v>
      </c>
      <c r="I80" s="3" t="s">
        <v>34</v>
      </c>
      <c r="J80" s="3" t="s">
        <v>446</v>
      </c>
      <c r="K80" s="3" t="s">
        <v>452</v>
      </c>
      <c r="L80" s="3" t="s">
        <v>50</v>
      </c>
      <c r="M80" s="3"/>
      <c r="N80" s="3" t="s">
        <v>100</v>
      </c>
      <c r="O80" s="3" t="s">
        <v>51</v>
      </c>
      <c r="P80" s="3" t="s">
        <v>199</v>
      </c>
      <c r="Q80" s="6">
        <v>0.92</v>
      </c>
      <c r="R80" s="3" t="s">
        <v>200</v>
      </c>
      <c r="S80" s="3" t="s">
        <v>453</v>
      </c>
      <c r="T80" s="3">
        <v>49</v>
      </c>
      <c r="U80" s="3" t="s">
        <v>43</v>
      </c>
      <c r="V80" s="3" t="s">
        <v>202</v>
      </c>
      <c r="W80" s="9"/>
      <c r="X80" s="9" t="s">
        <v>45</v>
      </c>
      <c r="Y80" s="9"/>
    </row>
    <row r="81" spans="1:25" ht="86" customHeight="1">
      <c r="A81" s="3" t="s">
        <v>454</v>
      </c>
      <c r="B81" s="3" t="s">
        <v>455</v>
      </c>
      <c r="C81" s="3" t="s">
        <v>456</v>
      </c>
      <c r="D81" s="3" t="s">
        <v>455</v>
      </c>
      <c r="E81" s="3" t="s">
        <v>30</v>
      </c>
      <c r="F81" s="3" t="s">
        <v>444</v>
      </c>
      <c r="G81" s="3" t="s">
        <v>445</v>
      </c>
      <c r="H81" s="3" t="s">
        <v>76</v>
      </c>
      <c r="I81" s="3" t="s">
        <v>34</v>
      </c>
      <c r="J81" s="3" t="s">
        <v>446</v>
      </c>
      <c r="K81" s="3" t="s">
        <v>457</v>
      </c>
      <c r="L81" s="3" t="s">
        <v>62</v>
      </c>
      <c r="M81" s="3"/>
      <c r="N81" s="3" t="s">
        <v>100</v>
      </c>
      <c r="O81" s="3" t="s">
        <v>51</v>
      </c>
      <c r="P81" s="3" t="s">
        <v>199</v>
      </c>
      <c r="Q81" s="6">
        <v>0.92</v>
      </c>
      <c r="R81" s="3" t="s">
        <v>200</v>
      </c>
      <c r="S81" s="3" t="s">
        <v>458</v>
      </c>
      <c r="T81" s="3">
        <v>32</v>
      </c>
      <c r="U81" s="3" t="s">
        <v>43</v>
      </c>
      <c r="V81" s="3" t="s">
        <v>202</v>
      </c>
      <c r="W81" s="9"/>
      <c r="X81" s="9" t="s">
        <v>45</v>
      </c>
      <c r="Y81" s="9"/>
    </row>
    <row r="82" spans="1:25" ht="86" customHeight="1">
      <c r="A82" s="3" t="s">
        <v>459</v>
      </c>
      <c r="B82" s="3" t="s">
        <v>460</v>
      </c>
      <c r="C82" s="3" t="s">
        <v>461</v>
      </c>
      <c r="D82" s="3" t="s">
        <v>460</v>
      </c>
      <c r="E82" s="3" t="s">
        <v>30</v>
      </c>
      <c r="F82" s="3" t="s">
        <v>444</v>
      </c>
      <c r="G82" s="3" t="s">
        <v>445</v>
      </c>
      <c r="H82" s="3" t="s">
        <v>76</v>
      </c>
      <c r="I82" s="3" t="s">
        <v>34</v>
      </c>
      <c r="J82" s="3" t="s">
        <v>446</v>
      </c>
      <c r="K82" s="3" t="s">
        <v>462</v>
      </c>
      <c r="L82" s="3" t="s">
        <v>50</v>
      </c>
      <c r="M82" s="3"/>
      <c r="N82" s="3" t="s">
        <v>100</v>
      </c>
      <c r="O82" s="3" t="s">
        <v>39</v>
      </c>
      <c r="P82" s="3" t="s">
        <v>199</v>
      </c>
      <c r="Q82" s="6">
        <v>0.84</v>
      </c>
      <c r="R82" s="3" t="s">
        <v>200</v>
      </c>
      <c r="S82" s="3" t="s">
        <v>463</v>
      </c>
      <c r="T82" s="3">
        <v>6</v>
      </c>
      <c r="U82" s="3" t="s">
        <v>43</v>
      </c>
      <c r="V82" s="3" t="s">
        <v>202</v>
      </c>
      <c r="W82" s="9"/>
      <c r="X82" s="9" t="s">
        <v>45</v>
      </c>
      <c r="Y82" s="9"/>
    </row>
    <row r="83" spans="1:25" ht="86" customHeight="1">
      <c r="A83" s="3" t="s">
        <v>464</v>
      </c>
      <c r="B83" s="3" t="s">
        <v>465</v>
      </c>
      <c r="C83" s="3" t="s">
        <v>466</v>
      </c>
      <c r="D83" s="3" t="s">
        <v>465</v>
      </c>
      <c r="E83" s="3" t="s">
        <v>30</v>
      </c>
      <c r="F83" s="3" t="s">
        <v>444</v>
      </c>
      <c r="G83" s="3" t="s">
        <v>445</v>
      </c>
      <c r="H83" s="3" t="s">
        <v>76</v>
      </c>
      <c r="I83" s="3" t="s">
        <v>34</v>
      </c>
      <c r="J83" s="3" t="s">
        <v>446</v>
      </c>
      <c r="K83" s="3" t="s">
        <v>462</v>
      </c>
      <c r="L83" s="3" t="s">
        <v>319</v>
      </c>
      <c r="M83" s="3"/>
      <c r="N83" s="3" t="s">
        <v>38</v>
      </c>
      <c r="O83" s="3" t="s">
        <v>51</v>
      </c>
      <c r="P83" s="3" t="s">
        <v>40</v>
      </c>
      <c r="Q83" s="6">
        <v>0.84</v>
      </c>
      <c r="R83" s="3" t="s">
        <v>41</v>
      </c>
      <c r="S83" s="3" t="s">
        <v>467</v>
      </c>
      <c r="T83" s="3">
        <v>25</v>
      </c>
      <c r="U83" s="3" t="s">
        <v>43</v>
      </c>
      <c r="V83" s="3" t="s">
        <v>44</v>
      </c>
      <c r="W83" s="9"/>
      <c r="X83" s="9" t="s">
        <v>45</v>
      </c>
      <c r="Y83" s="9"/>
    </row>
    <row r="84" spans="1:25" ht="86" customHeight="1">
      <c r="A84" s="3" t="s">
        <v>468</v>
      </c>
      <c r="B84" s="3" t="s">
        <v>469</v>
      </c>
      <c r="C84" s="3" t="s">
        <v>470</v>
      </c>
      <c r="D84" s="3" t="s">
        <v>469</v>
      </c>
      <c r="E84" s="3" t="s">
        <v>30</v>
      </c>
      <c r="F84" s="3" t="s">
        <v>444</v>
      </c>
      <c r="G84" s="3" t="s">
        <v>445</v>
      </c>
      <c r="H84" s="3" t="s">
        <v>76</v>
      </c>
      <c r="I84" s="3" t="s">
        <v>34</v>
      </c>
      <c r="J84" s="3" t="s">
        <v>446</v>
      </c>
      <c r="K84" s="3" t="s">
        <v>471</v>
      </c>
      <c r="L84" s="3" t="s">
        <v>50</v>
      </c>
      <c r="M84" s="3" t="s">
        <v>62</v>
      </c>
      <c r="N84" s="3" t="s">
        <v>38</v>
      </c>
      <c r="O84" s="3" t="s">
        <v>51</v>
      </c>
      <c r="P84" s="3" t="s">
        <v>40</v>
      </c>
      <c r="Q84" s="6">
        <v>0.84</v>
      </c>
      <c r="R84" s="3" t="s">
        <v>41</v>
      </c>
      <c r="S84" s="3" t="s">
        <v>472</v>
      </c>
      <c r="T84" s="3">
        <v>183</v>
      </c>
      <c r="U84" s="3" t="s">
        <v>43</v>
      </c>
      <c r="V84" s="3" t="s">
        <v>44</v>
      </c>
      <c r="W84" s="9"/>
      <c r="X84" s="9" t="s">
        <v>45</v>
      </c>
      <c r="Y84" s="9"/>
    </row>
    <row r="85" spans="1:25" ht="86" customHeight="1">
      <c r="A85" s="3" t="s">
        <v>473</v>
      </c>
      <c r="B85" s="3" t="s">
        <v>474</v>
      </c>
      <c r="C85" s="3" t="s">
        <v>475</v>
      </c>
      <c r="D85" s="3" t="s">
        <v>474</v>
      </c>
      <c r="E85" s="3" t="s">
        <v>30</v>
      </c>
      <c r="F85" s="3" t="s">
        <v>444</v>
      </c>
      <c r="G85" s="3" t="s">
        <v>445</v>
      </c>
      <c r="H85" s="3" t="s">
        <v>76</v>
      </c>
      <c r="I85" s="3" t="s">
        <v>34</v>
      </c>
      <c r="J85" s="3" t="s">
        <v>446</v>
      </c>
      <c r="K85" s="3" t="s">
        <v>476</v>
      </c>
      <c r="L85" s="3" t="s">
        <v>62</v>
      </c>
      <c r="M85" s="3"/>
      <c r="N85" s="3" t="s">
        <v>213</v>
      </c>
      <c r="O85" s="3" t="s">
        <v>39</v>
      </c>
      <c r="P85" s="3" t="s">
        <v>199</v>
      </c>
      <c r="Q85" s="6">
        <v>0.84</v>
      </c>
      <c r="R85" s="3" t="s">
        <v>200</v>
      </c>
      <c r="S85" s="3" t="s">
        <v>477</v>
      </c>
      <c r="T85" s="3">
        <v>4</v>
      </c>
      <c r="U85" s="3" t="s">
        <v>43</v>
      </c>
      <c r="V85" s="3" t="s">
        <v>202</v>
      </c>
      <c r="W85" s="9"/>
      <c r="X85" s="9" t="s">
        <v>45</v>
      </c>
      <c r="Y85" s="9"/>
    </row>
    <row r="86" spans="1:25" ht="86" customHeight="1">
      <c r="A86" s="3" t="s">
        <v>478</v>
      </c>
      <c r="B86" s="3" t="s">
        <v>479</v>
      </c>
      <c r="C86" s="3" t="s">
        <v>480</v>
      </c>
      <c r="D86" s="3" t="s">
        <v>479</v>
      </c>
      <c r="E86" s="3" t="s">
        <v>30</v>
      </c>
      <c r="F86" s="3" t="s">
        <v>444</v>
      </c>
      <c r="G86" s="3" t="s">
        <v>445</v>
      </c>
      <c r="H86" s="3" t="s">
        <v>76</v>
      </c>
      <c r="I86" s="3" t="s">
        <v>34</v>
      </c>
      <c r="J86" s="3" t="s">
        <v>446</v>
      </c>
      <c r="K86" s="3" t="s">
        <v>481</v>
      </c>
      <c r="L86" s="3" t="s">
        <v>50</v>
      </c>
      <c r="M86" s="3"/>
      <c r="N86" s="3" t="s">
        <v>38</v>
      </c>
      <c r="O86" s="3" t="s">
        <v>51</v>
      </c>
      <c r="P86" s="3" t="s">
        <v>40</v>
      </c>
      <c r="Q86" s="6">
        <v>0.84</v>
      </c>
      <c r="R86" s="3" t="s">
        <v>41</v>
      </c>
      <c r="S86" s="3" t="s">
        <v>482</v>
      </c>
      <c r="T86" s="3">
        <v>109</v>
      </c>
      <c r="U86" s="3" t="s">
        <v>43</v>
      </c>
      <c r="V86" s="3" t="s">
        <v>44</v>
      </c>
      <c r="W86" s="9"/>
      <c r="X86" s="9" t="s">
        <v>45</v>
      </c>
      <c r="Y86" s="9"/>
    </row>
    <row r="87" spans="1:25" ht="86" customHeight="1">
      <c r="A87" s="3" t="s">
        <v>483</v>
      </c>
      <c r="B87" s="3" t="s">
        <v>484</v>
      </c>
      <c r="C87" s="3" t="s">
        <v>485</v>
      </c>
      <c r="D87" s="3" t="s">
        <v>484</v>
      </c>
      <c r="E87" s="3" t="s">
        <v>30</v>
      </c>
      <c r="F87" s="3" t="s">
        <v>444</v>
      </c>
      <c r="G87" s="3" t="s">
        <v>445</v>
      </c>
      <c r="H87" s="3" t="s">
        <v>76</v>
      </c>
      <c r="I87" s="3" t="s">
        <v>34</v>
      </c>
      <c r="J87" s="3" t="s">
        <v>446</v>
      </c>
      <c r="K87" s="3" t="s">
        <v>486</v>
      </c>
      <c r="L87" s="3" t="s">
        <v>319</v>
      </c>
      <c r="M87" s="3"/>
      <c r="N87" s="3" t="s">
        <v>38</v>
      </c>
      <c r="O87" s="3" t="s">
        <v>39</v>
      </c>
      <c r="P87" s="3" t="s">
        <v>40</v>
      </c>
      <c r="Q87" s="6">
        <v>0.84</v>
      </c>
      <c r="R87" s="3" t="s">
        <v>41</v>
      </c>
      <c r="S87" s="3" t="s">
        <v>487</v>
      </c>
      <c r="T87" s="3">
        <v>209</v>
      </c>
      <c r="U87" s="3" t="s">
        <v>43</v>
      </c>
      <c r="V87" s="3" t="s">
        <v>44</v>
      </c>
      <c r="W87" s="9"/>
      <c r="X87" s="9" t="s">
        <v>45</v>
      </c>
      <c r="Y87" s="9"/>
    </row>
    <row r="88" spans="1:25" ht="86" customHeight="1">
      <c r="A88" s="3" t="s">
        <v>488</v>
      </c>
      <c r="B88" s="3" t="s">
        <v>489</v>
      </c>
      <c r="C88" s="3" t="s">
        <v>490</v>
      </c>
      <c r="D88" s="3" t="s">
        <v>491</v>
      </c>
      <c r="E88" s="3" t="s">
        <v>51</v>
      </c>
      <c r="F88" s="3" t="s">
        <v>444</v>
      </c>
      <c r="G88" s="3" t="s">
        <v>445</v>
      </c>
      <c r="H88" s="3" t="s">
        <v>33</v>
      </c>
      <c r="I88" s="3" t="s">
        <v>446</v>
      </c>
      <c r="J88" s="3" t="s">
        <v>446</v>
      </c>
      <c r="K88" s="3" t="s">
        <v>492</v>
      </c>
      <c r="L88" s="3" t="s">
        <v>319</v>
      </c>
      <c r="M88" s="3"/>
      <c r="N88" s="3" t="s">
        <v>100</v>
      </c>
      <c r="O88" s="3" t="s">
        <v>51</v>
      </c>
      <c r="P88" s="3" t="s">
        <v>40</v>
      </c>
      <c r="Q88" s="6">
        <v>0.78</v>
      </c>
      <c r="R88" s="3" t="s">
        <v>41</v>
      </c>
      <c r="S88" s="3" t="s">
        <v>493</v>
      </c>
      <c r="T88" s="3">
        <v>46</v>
      </c>
      <c r="U88" s="3" t="s">
        <v>43</v>
      </c>
      <c r="V88" s="3" t="s">
        <v>44</v>
      </c>
      <c r="W88" s="9"/>
      <c r="X88" s="9" t="s">
        <v>45</v>
      </c>
      <c r="Y88" s="9"/>
    </row>
    <row r="89" spans="1:25" ht="86" customHeight="1">
      <c r="A89" s="3" t="s">
        <v>494</v>
      </c>
      <c r="B89" s="3" t="s">
        <v>495</v>
      </c>
      <c r="C89" s="3" t="s">
        <v>496</v>
      </c>
      <c r="D89" s="3" t="s">
        <v>495</v>
      </c>
      <c r="E89" s="3" t="s">
        <v>30</v>
      </c>
      <c r="F89" s="3" t="s">
        <v>444</v>
      </c>
      <c r="G89" s="3" t="s">
        <v>445</v>
      </c>
      <c r="H89" s="3" t="s">
        <v>33</v>
      </c>
      <c r="I89" s="3" t="s">
        <v>446</v>
      </c>
      <c r="J89" s="3" t="s">
        <v>446</v>
      </c>
      <c r="K89" s="3" t="s">
        <v>497</v>
      </c>
      <c r="L89" s="3" t="s">
        <v>62</v>
      </c>
      <c r="M89" s="3"/>
      <c r="N89" s="3" t="s">
        <v>38</v>
      </c>
      <c r="O89" s="3" t="s">
        <v>51</v>
      </c>
      <c r="P89" s="3" t="s">
        <v>40</v>
      </c>
      <c r="Q89" s="6">
        <v>0.78</v>
      </c>
      <c r="R89" s="3" t="s">
        <v>41</v>
      </c>
      <c r="S89" s="3" t="s">
        <v>498</v>
      </c>
      <c r="T89" s="3">
        <v>32</v>
      </c>
      <c r="U89" s="3" t="s">
        <v>43</v>
      </c>
      <c r="V89" s="3" t="s">
        <v>44</v>
      </c>
      <c r="W89" s="9"/>
      <c r="X89" s="9" t="s">
        <v>45</v>
      </c>
      <c r="Y89" s="9"/>
    </row>
    <row r="90" spans="1:25" ht="86" customHeight="1">
      <c r="A90" s="3" t="s">
        <v>499</v>
      </c>
      <c r="B90" s="3" t="s">
        <v>500</v>
      </c>
      <c r="C90" s="3" t="s">
        <v>501</v>
      </c>
      <c r="D90" s="3" t="s">
        <v>500</v>
      </c>
      <c r="E90" s="3" t="s">
        <v>30</v>
      </c>
      <c r="F90" s="3" t="s">
        <v>444</v>
      </c>
      <c r="G90" s="3" t="s">
        <v>445</v>
      </c>
      <c r="H90" s="3" t="s">
        <v>33</v>
      </c>
      <c r="I90" s="3" t="s">
        <v>446</v>
      </c>
      <c r="J90" s="3" t="s">
        <v>446</v>
      </c>
      <c r="K90" s="3" t="s">
        <v>502</v>
      </c>
      <c r="L90" s="3" t="s">
        <v>319</v>
      </c>
      <c r="M90" s="3"/>
      <c r="N90" s="3" t="s">
        <v>38</v>
      </c>
      <c r="O90" s="3" t="s">
        <v>51</v>
      </c>
      <c r="P90" s="3" t="s">
        <v>40</v>
      </c>
      <c r="Q90" s="6">
        <v>0.78</v>
      </c>
      <c r="R90" s="3" t="s">
        <v>41</v>
      </c>
      <c r="S90" s="3" t="s">
        <v>503</v>
      </c>
      <c r="T90" s="3">
        <v>40</v>
      </c>
      <c r="U90" s="3" t="s">
        <v>43</v>
      </c>
      <c r="V90" s="3" t="s">
        <v>44</v>
      </c>
      <c r="W90" s="9"/>
      <c r="X90" s="9" t="s">
        <v>45</v>
      </c>
      <c r="Y90" s="9"/>
    </row>
    <row r="91" spans="1:25" ht="86" customHeight="1">
      <c r="A91" s="3" t="s">
        <v>504</v>
      </c>
      <c r="B91" s="3" t="s">
        <v>505</v>
      </c>
      <c r="C91" s="3" t="s">
        <v>506</v>
      </c>
      <c r="D91" s="3" t="s">
        <v>505</v>
      </c>
      <c r="E91" s="3" t="s">
        <v>30</v>
      </c>
      <c r="F91" s="3" t="s">
        <v>444</v>
      </c>
      <c r="G91" s="3" t="s">
        <v>445</v>
      </c>
      <c r="H91" s="3" t="s">
        <v>76</v>
      </c>
      <c r="I91" s="3" t="s">
        <v>34</v>
      </c>
      <c r="J91" s="3" t="s">
        <v>446</v>
      </c>
      <c r="K91" s="3" t="s">
        <v>507</v>
      </c>
      <c r="L91" s="3" t="s">
        <v>36</v>
      </c>
      <c r="M91" s="3" t="s">
        <v>508</v>
      </c>
      <c r="N91" s="3" t="s">
        <v>213</v>
      </c>
      <c r="O91" s="3" t="s">
        <v>39</v>
      </c>
      <c r="P91" s="3" t="s">
        <v>199</v>
      </c>
      <c r="Q91" s="6">
        <v>0.92</v>
      </c>
      <c r="R91" s="3" t="s">
        <v>200</v>
      </c>
      <c r="S91" s="3" t="s">
        <v>509</v>
      </c>
      <c r="T91" s="3">
        <v>26</v>
      </c>
      <c r="U91" s="3" t="s">
        <v>43</v>
      </c>
      <c r="V91" s="3" t="s">
        <v>202</v>
      </c>
      <c r="W91" s="9"/>
      <c r="X91" s="9" t="s">
        <v>45</v>
      </c>
      <c r="Y91" s="9"/>
    </row>
    <row r="92" spans="1:25" ht="86" customHeight="1">
      <c r="A92" s="3" t="s">
        <v>510</v>
      </c>
      <c r="B92" s="3" t="s">
        <v>511</v>
      </c>
      <c r="C92" s="3" t="s">
        <v>512</v>
      </c>
      <c r="D92" s="3" t="s">
        <v>511</v>
      </c>
      <c r="E92" s="3" t="s">
        <v>30</v>
      </c>
      <c r="F92" s="3" t="s">
        <v>444</v>
      </c>
      <c r="G92" s="3" t="s">
        <v>445</v>
      </c>
      <c r="H92" s="3" t="s">
        <v>76</v>
      </c>
      <c r="I92" s="3" t="s">
        <v>34</v>
      </c>
      <c r="J92" s="3" t="s">
        <v>446</v>
      </c>
      <c r="K92" s="3" t="s">
        <v>507</v>
      </c>
      <c r="L92" s="3" t="s">
        <v>36</v>
      </c>
      <c r="M92" s="3" t="s">
        <v>36</v>
      </c>
      <c r="N92" s="3" t="s">
        <v>100</v>
      </c>
      <c r="O92" s="3" t="s">
        <v>39</v>
      </c>
      <c r="P92" s="3" t="s">
        <v>199</v>
      </c>
      <c r="Q92" s="6">
        <v>0.84</v>
      </c>
      <c r="R92" s="3" t="s">
        <v>200</v>
      </c>
      <c r="S92" s="3" t="s">
        <v>513</v>
      </c>
      <c r="T92" s="3">
        <v>19</v>
      </c>
      <c r="U92" s="3" t="s">
        <v>43</v>
      </c>
      <c r="V92" s="3" t="s">
        <v>202</v>
      </c>
      <c r="W92" s="9"/>
      <c r="X92" s="9" t="s">
        <v>45</v>
      </c>
      <c r="Y92" s="9"/>
    </row>
    <row r="93" spans="1:25" ht="86" customHeight="1">
      <c r="A93" s="3" t="s">
        <v>514</v>
      </c>
      <c r="B93" s="3" t="s">
        <v>515</v>
      </c>
      <c r="C93" s="3" t="s">
        <v>516</v>
      </c>
      <c r="D93" s="3" t="s">
        <v>515</v>
      </c>
      <c r="E93" s="3" t="s">
        <v>30</v>
      </c>
      <c r="F93" s="3" t="s">
        <v>444</v>
      </c>
      <c r="G93" s="3" t="s">
        <v>445</v>
      </c>
      <c r="H93" s="3" t="s">
        <v>76</v>
      </c>
      <c r="I93" s="3" t="s">
        <v>34</v>
      </c>
      <c r="J93" s="3" t="s">
        <v>446</v>
      </c>
      <c r="K93" s="3" t="s">
        <v>517</v>
      </c>
      <c r="L93" s="3" t="s">
        <v>36</v>
      </c>
      <c r="M93" s="3" t="s">
        <v>49</v>
      </c>
      <c r="N93" s="3" t="s">
        <v>213</v>
      </c>
      <c r="O93" s="3" t="s">
        <v>39</v>
      </c>
      <c r="P93" s="3" t="s">
        <v>199</v>
      </c>
      <c r="Q93" s="6">
        <v>0.92</v>
      </c>
      <c r="R93" s="3" t="s">
        <v>200</v>
      </c>
      <c r="S93" s="3" t="s">
        <v>518</v>
      </c>
      <c r="T93" s="3">
        <v>29</v>
      </c>
      <c r="U93" s="3" t="s">
        <v>43</v>
      </c>
      <c r="V93" s="3" t="s">
        <v>202</v>
      </c>
      <c r="W93" s="9"/>
      <c r="X93" s="9" t="s">
        <v>45</v>
      </c>
      <c r="Y93" s="9"/>
    </row>
    <row r="94" spans="1:25" ht="86" customHeight="1">
      <c r="A94" s="3" t="s">
        <v>519</v>
      </c>
      <c r="B94" s="3" t="s">
        <v>520</v>
      </c>
      <c r="C94" s="3" t="s">
        <v>521</v>
      </c>
      <c r="D94" s="3" t="s">
        <v>520</v>
      </c>
      <c r="E94" s="3" t="s">
        <v>30</v>
      </c>
      <c r="F94" s="3" t="s">
        <v>444</v>
      </c>
      <c r="G94" s="3" t="s">
        <v>445</v>
      </c>
      <c r="H94" s="3" t="s">
        <v>76</v>
      </c>
      <c r="I94" s="3" t="s">
        <v>34</v>
      </c>
      <c r="J94" s="3" t="s">
        <v>446</v>
      </c>
      <c r="K94" s="3" t="s">
        <v>517</v>
      </c>
      <c r="L94" s="3" t="s">
        <v>219</v>
      </c>
      <c r="M94" s="3"/>
      <c r="N94" s="3" t="s">
        <v>38</v>
      </c>
      <c r="O94" s="3" t="s">
        <v>51</v>
      </c>
      <c r="P94" s="3" t="s">
        <v>162</v>
      </c>
      <c r="Q94" s="6">
        <v>0.84</v>
      </c>
      <c r="R94" s="3" t="s">
        <v>41</v>
      </c>
      <c r="S94" s="3" t="s">
        <v>522</v>
      </c>
      <c r="T94" s="3">
        <v>140</v>
      </c>
      <c r="U94" s="3" t="s">
        <v>43</v>
      </c>
      <c r="V94" s="3" t="s">
        <v>44</v>
      </c>
      <c r="W94" s="9"/>
      <c r="X94" s="9" t="s">
        <v>45</v>
      </c>
      <c r="Y94" s="9"/>
    </row>
    <row r="95" spans="1:25" ht="86" customHeight="1">
      <c r="A95" s="3" t="s">
        <v>523</v>
      </c>
      <c r="B95" s="3" t="s">
        <v>524</v>
      </c>
      <c r="C95" s="3" t="s">
        <v>525</v>
      </c>
      <c r="D95" s="3" t="s">
        <v>524</v>
      </c>
      <c r="E95" s="3" t="s">
        <v>30</v>
      </c>
      <c r="F95" s="3" t="s">
        <v>444</v>
      </c>
      <c r="G95" s="3" t="s">
        <v>445</v>
      </c>
      <c r="H95" s="3" t="s">
        <v>76</v>
      </c>
      <c r="I95" s="3" t="s">
        <v>34</v>
      </c>
      <c r="J95" s="3" t="s">
        <v>446</v>
      </c>
      <c r="K95" s="3" t="s">
        <v>526</v>
      </c>
      <c r="L95" s="3" t="s">
        <v>36</v>
      </c>
      <c r="M95" s="3"/>
      <c r="N95" s="3" t="s">
        <v>213</v>
      </c>
      <c r="O95" s="3" t="s">
        <v>39</v>
      </c>
      <c r="P95" s="3" t="s">
        <v>199</v>
      </c>
      <c r="Q95" s="6">
        <v>0.84</v>
      </c>
      <c r="R95" s="3" t="s">
        <v>200</v>
      </c>
      <c r="S95" s="3" t="s">
        <v>527</v>
      </c>
      <c r="T95" s="3">
        <v>10</v>
      </c>
      <c r="U95" s="3" t="s">
        <v>43</v>
      </c>
      <c r="V95" s="3" t="s">
        <v>202</v>
      </c>
      <c r="W95" s="9"/>
      <c r="X95" s="9" t="s">
        <v>45</v>
      </c>
      <c r="Y95" s="9"/>
    </row>
    <row r="96" spans="1:25" ht="86" customHeight="1">
      <c r="A96" s="3" t="s">
        <v>528</v>
      </c>
      <c r="B96" s="3" t="s">
        <v>529</v>
      </c>
      <c r="C96" s="3" t="s">
        <v>530</v>
      </c>
      <c r="D96" s="3" t="s">
        <v>529</v>
      </c>
      <c r="E96" s="3" t="s">
        <v>30</v>
      </c>
      <c r="F96" s="3" t="s">
        <v>444</v>
      </c>
      <c r="G96" s="3" t="s">
        <v>445</v>
      </c>
      <c r="H96" s="3" t="s">
        <v>76</v>
      </c>
      <c r="I96" s="3" t="s">
        <v>34</v>
      </c>
      <c r="J96" s="3" t="s">
        <v>446</v>
      </c>
      <c r="K96" s="3" t="s">
        <v>531</v>
      </c>
      <c r="L96" s="3" t="s">
        <v>50</v>
      </c>
      <c r="M96" s="3"/>
      <c r="N96" s="3" t="s">
        <v>213</v>
      </c>
      <c r="O96" s="3" t="s">
        <v>39</v>
      </c>
      <c r="P96" s="3" t="s">
        <v>199</v>
      </c>
      <c r="Q96" s="6">
        <v>0.84</v>
      </c>
      <c r="R96" s="3" t="s">
        <v>200</v>
      </c>
      <c r="S96" s="3" t="s">
        <v>532</v>
      </c>
      <c r="T96" s="3">
        <v>24</v>
      </c>
      <c r="U96" s="3" t="s">
        <v>43</v>
      </c>
      <c r="V96" s="3" t="s">
        <v>202</v>
      </c>
      <c r="W96" s="9"/>
      <c r="X96" s="9" t="s">
        <v>45</v>
      </c>
      <c r="Y96" s="9"/>
    </row>
    <row r="97" spans="1:25" ht="86" customHeight="1">
      <c r="A97" s="3" t="s">
        <v>533</v>
      </c>
      <c r="B97" s="3" t="s">
        <v>534</v>
      </c>
      <c r="C97" s="3" t="s">
        <v>535</v>
      </c>
      <c r="D97" s="3" t="s">
        <v>534</v>
      </c>
      <c r="E97" s="3" t="s">
        <v>30</v>
      </c>
      <c r="F97" s="3" t="s">
        <v>444</v>
      </c>
      <c r="G97" s="3" t="s">
        <v>445</v>
      </c>
      <c r="H97" s="3" t="s">
        <v>76</v>
      </c>
      <c r="I97" s="3" t="s">
        <v>34</v>
      </c>
      <c r="J97" s="3" t="s">
        <v>446</v>
      </c>
      <c r="K97" s="3" t="s">
        <v>531</v>
      </c>
      <c r="L97" s="3" t="s">
        <v>62</v>
      </c>
      <c r="M97" s="3"/>
      <c r="N97" s="3" t="s">
        <v>213</v>
      </c>
      <c r="O97" s="3" t="s">
        <v>39</v>
      </c>
      <c r="P97" s="3" t="s">
        <v>199</v>
      </c>
      <c r="Q97" s="6">
        <v>0.92</v>
      </c>
      <c r="R97" s="3" t="s">
        <v>200</v>
      </c>
      <c r="S97" s="3" t="s">
        <v>536</v>
      </c>
      <c r="T97" s="3">
        <v>76</v>
      </c>
      <c r="U97" s="3" t="s">
        <v>43</v>
      </c>
      <c r="V97" s="3" t="s">
        <v>202</v>
      </c>
      <c r="W97" s="9"/>
      <c r="X97" s="9" t="s">
        <v>45</v>
      </c>
      <c r="Y97" s="9"/>
    </row>
    <row r="98" spans="1:25" ht="86" customHeight="1">
      <c r="A98" s="3" t="s">
        <v>537</v>
      </c>
      <c r="B98" s="3" t="s">
        <v>538</v>
      </c>
      <c r="C98" s="3" t="s">
        <v>539</v>
      </c>
      <c r="D98" s="3" t="s">
        <v>538</v>
      </c>
      <c r="E98" s="3" t="s">
        <v>30</v>
      </c>
      <c r="F98" s="3" t="s">
        <v>444</v>
      </c>
      <c r="G98" s="3" t="s">
        <v>445</v>
      </c>
      <c r="H98" s="3" t="s">
        <v>76</v>
      </c>
      <c r="I98" s="3" t="s">
        <v>34</v>
      </c>
      <c r="J98" s="3" t="s">
        <v>446</v>
      </c>
      <c r="K98" s="3" t="s">
        <v>540</v>
      </c>
      <c r="L98" s="3" t="s">
        <v>62</v>
      </c>
      <c r="M98" s="3"/>
      <c r="N98" s="3" t="s">
        <v>38</v>
      </c>
      <c r="O98" s="3" t="s">
        <v>51</v>
      </c>
      <c r="P98" s="3" t="s">
        <v>40</v>
      </c>
      <c r="Q98" s="6">
        <v>0.84</v>
      </c>
      <c r="R98" s="3" t="s">
        <v>41</v>
      </c>
      <c r="S98" s="3" t="s">
        <v>541</v>
      </c>
      <c r="T98" s="3">
        <v>121</v>
      </c>
      <c r="U98" s="3" t="s">
        <v>43</v>
      </c>
      <c r="V98" s="3" t="s">
        <v>44</v>
      </c>
      <c r="W98" s="9"/>
      <c r="X98" s="9" t="s">
        <v>45</v>
      </c>
      <c r="Y98" s="9"/>
    </row>
    <row r="99" spans="1:25" ht="86" customHeight="1">
      <c r="A99" s="3" t="s">
        <v>542</v>
      </c>
      <c r="B99" s="3" t="s">
        <v>543</v>
      </c>
      <c r="C99" s="3" t="s">
        <v>544</v>
      </c>
      <c r="D99" s="3" t="s">
        <v>543</v>
      </c>
      <c r="E99" s="3" t="s">
        <v>30</v>
      </c>
      <c r="F99" s="3" t="s">
        <v>444</v>
      </c>
      <c r="G99" s="3" t="s">
        <v>445</v>
      </c>
      <c r="H99" s="3" t="s">
        <v>76</v>
      </c>
      <c r="I99" s="3" t="s">
        <v>34</v>
      </c>
      <c r="J99" s="3" t="s">
        <v>446</v>
      </c>
      <c r="K99" s="3" t="s">
        <v>545</v>
      </c>
      <c r="L99" s="3" t="s">
        <v>50</v>
      </c>
      <c r="M99" s="3"/>
      <c r="N99" s="3" t="s">
        <v>100</v>
      </c>
      <c r="O99" s="3" t="s">
        <v>39</v>
      </c>
      <c r="P99" s="3" t="s">
        <v>199</v>
      </c>
      <c r="Q99" s="6">
        <v>0.84</v>
      </c>
      <c r="R99" s="3" t="s">
        <v>200</v>
      </c>
      <c r="S99" s="3" t="s">
        <v>546</v>
      </c>
      <c r="T99" s="3">
        <v>4</v>
      </c>
      <c r="U99" s="3" t="s">
        <v>43</v>
      </c>
      <c r="V99" s="3" t="s">
        <v>202</v>
      </c>
      <c r="W99" s="9"/>
      <c r="X99" s="9" t="s">
        <v>45</v>
      </c>
      <c r="Y99" s="9"/>
    </row>
    <row r="100" spans="1:25" ht="86" customHeight="1">
      <c r="A100" s="3" t="s">
        <v>547</v>
      </c>
      <c r="B100" s="3" t="s">
        <v>548</v>
      </c>
      <c r="C100" s="3" t="s">
        <v>549</v>
      </c>
      <c r="D100" s="3" t="s">
        <v>548</v>
      </c>
      <c r="E100" s="3" t="s">
        <v>30</v>
      </c>
      <c r="F100" s="3" t="s">
        <v>444</v>
      </c>
      <c r="G100" s="3" t="s">
        <v>445</v>
      </c>
      <c r="H100" s="3" t="s">
        <v>76</v>
      </c>
      <c r="I100" s="3" t="s">
        <v>34</v>
      </c>
      <c r="J100" s="3" t="s">
        <v>446</v>
      </c>
      <c r="K100" s="3" t="s">
        <v>545</v>
      </c>
      <c r="L100" s="3" t="s">
        <v>50</v>
      </c>
      <c r="M100" s="3"/>
      <c r="N100" s="3" t="s">
        <v>213</v>
      </c>
      <c r="O100" s="3" t="s">
        <v>39</v>
      </c>
      <c r="P100" s="3" t="s">
        <v>199</v>
      </c>
      <c r="Q100" s="6">
        <v>0.92</v>
      </c>
      <c r="R100" s="3" t="s">
        <v>200</v>
      </c>
      <c r="S100" s="3" t="s">
        <v>550</v>
      </c>
      <c r="T100" s="3">
        <v>57</v>
      </c>
      <c r="U100" s="3" t="s">
        <v>43</v>
      </c>
      <c r="V100" s="3" t="s">
        <v>202</v>
      </c>
      <c r="W100" s="9"/>
      <c r="X100" s="9" t="s">
        <v>45</v>
      </c>
      <c r="Y100" s="9"/>
    </row>
    <row r="101" spans="1:25" ht="86" customHeight="1">
      <c r="A101" s="3" t="s">
        <v>551</v>
      </c>
      <c r="B101" s="3" t="s">
        <v>552</v>
      </c>
      <c r="C101" s="3" t="s">
        <v>553</v>
      </c>
      <c r="D101" s="3" t="s">
        <v>552</v>
      </c>
      <c r="E101" s="3" t="s">
        <v>30</v>
      </c>
      <c r="F101" s="3" t="s">
        <v>444</v>
      </c>
      <c r="G101" s="3" t="s">
        <v>445</v>
      </c>
      <c r="H101" s="3" t="s">
        <v>76</v>
      </c>
      <c r="I101" s="3" t="s">
        <v>34</v>
      </c>
      <c r="J101" s="3" t="s">
        <v>446</v>
      </c>
      <c r="K101" s="3" t="s">
        <v>554</v>
      </c>
      <c r="L101" s="3" t="s">
        <v>50</v>
      </c>
      <c r="M101" s="3"/>
      <c r="N101" s="3" t="s">
        <v>213</v>
      </c>
      <c r="O101" s="3" t="s">
        <v>39</v>
      </c>
      <c r="P101" s="3" t="s">
        <v>199</v>
      </c>
      <c r="Q101" s="6">
        <v>0.92</v>
      </c>
      <c r="R101" s="3" t="s">
        <v>200</v>
      </c>
      <c r="S101" s="3" t="s">
        <v>555</v>
      </c>
      <c r="T101" s="3">
        <v>46</v>
      </c>
      <c r="U101" s="3" t="s">
        <v>43</v>
      </c>
      <c r="V101" s="3" t="s">
        <v>202</v>
      </c>
      <c r="W101" s="9"/>
      <c r="X101" s="9" t="s">
        <v>45</v>
      </c>
      <c r="Y101" s="9"/>
    </row>
    <row r="102" spans="1:25" ht="86" customHeight="1">
      <c r="A102" s="3" t="s">
        <v>556</v>
      </c>
      <c r="B102" s="3" t="s">
        <v>557</v>
      </c>
      <c r="C102" s="3" t="s">
        <v>558</v>
      </c>
      <c r="D102" s="3" t="s">
        <v>557</v>
      </c>
      <c r="E102" s="3" t="s">
        <v>30</v>
      </c>
      <c r="F102" s="3" t="s">
        <v>444</v>
      </c>
      <c r="G102" s="3" t="s">
        <v>445</v>
      </c>
      <c r="H102" s="3" t="s">
        <v>76</v>
      </c>
      <c r="I102" s="3" t="s">
        <v>34</v>
      </c>
      <c r="J102" s="3" t="s">
        <v>446</v>
      </c>
      <c r="K102" s="3" t="s">
        <v>559</v>
      </c>
      <c r="L102" s="3" t="s">
        <v>50</v>
      </c>
      <c r="M102" s="3"/>
      <c r="N102" s="3" t="s">
        <v>213</v>
      </c>
      <c r="O102" s="3" t="s">
        <v>39</v>
      </c>
      <c r="P102" s="3" t="s">
        <v>199</v>
      </c>
      <c r="Q102" s="6">
        <v>0.84</v>
      </c>
      <c r="R102" s="3" t="s">
        <v>200</v>
      </c>
      <c r="S102" s="3" t="s">
        <v>560</v>
      </c>
      <c r="T102" s="3">
        <v>12</v>
      </c>
      <c r="U102" s="3" t="s">
        <v>43</v>
      </c>
      <c r="V102" s="3" t="s">
        <v>202</v>
      </c>
      <c r="W102" s="9"/>
      <c r="X102" s="9" t="s">
        <v>45</v>
      </c>
      <c r="Y102" s="9"/>
    </row>
    <row r="103" spans="1:25" ht="86" customHeight="1">
      <c r="A103" s="3" t="s">
        <v>561</v>
      </c>
      <c r="B103" s="3" t="s">
        <v>562</v>
      </c>
      <c r="C103" s="3" t="s">
        <v>563</v>
      </c>
      <c r="D103" s="3" t="s">
        <v>562</v>
      </c>
      <c r="E103" s="3" t="s">
        <v>30</v>
      </c>
      <c r="F103" s="3" t="s">
        <v>444</v>
      </c>
      <c r="G103" s="3" t="s">
        <v>445</v>
      </c>
      <c r="H103" s="3" t="s">
        <v>76</v>
      </c>
      <c r="I103" s="3" t="s">
        <v>34</v>
      </c>
      <c r="J103" s="3" t="s">
        <v>446</v>
      </c>
      <c r="K103" s="3" t="s">
        <v>564</v>
      </c>
      <c r="L103" s="3" t="s">
        <v>62</v>
      </c>
      <c r="M103" s="3"/>
      <c r="N103" s="3" t="s">
        <v>38</v>
      </c>
      <c r="O103" s="3" t="s">
        <v>39</v>
      </c>
      <c r="P103" s="3" t="s">
        <v>40</v>
      </c>
      <c r="Q103" s="6">
        <v>0.84</v>
      </c>
      <c r="R103" s="3" t="s">
        <v>41</v>
      </c>
      <c r="S103" s="3" t="s">
        <v>565</v>
      </c>
      <c r="T103" s="3">
        <v>135</v>
      </c>
      <c r="U103" s="3" t="s">
        <v>43</v>
      </c>
      <c r="V103" s="3" t="s">
        <v>44</v>
      </c>
      <c r="W103" s="9"/>
      <c r="X103" s="9" t="s">
        <v>45</v>
      </c>
      <c r="Y103" s="9"/>
    </row>
    <row r="104" spans="1:25" ht="86" customHeight="1">
      <c r="A104" s="3" t="s">
        <v>566</v>
      </c>
      <c r="B104" s="3" t="s">
        <v>567</v>
      </c>
      <c r="C104" s="3" t="s">
        <v>568</v>
      </c>
      <c r="D104" s="3" t="s">
        <v>567</v>
      </c>
      <c r="E104" s="3" t="s">
        <v>30</v>
      </c>
      <c r="F104" s="3" t="s">
        <v>444</v>
      </c>
      <c r="G104" s="3" t="s">
        <v>445</v>
      </c>
      <c r="H104" s="3" t="s">
        <v>76</v>
      </c>
      <c r="I104" s="3" t="s">
        <v>34</v>
      </c>
      <c r="J104" s="3" t="s">
        <v>446</v>
      </c>
      <c r="K104" s="3" t="s">
        <v>569</v>
      </c>
      <c r="L104" s="3" t="s">
        <v>50</v>
      </c>
      <c r="M104" s="3"/>
      <c r="N104" s="3" t="s">
        <v>213</v>
      </c>
      <c r="O104" s="3" t="s">
        <v>39</v>
      </c>
      <c r="P104" s="3" t="s">
        <v>199</v>
      </c>
      <c r="Q104" s="6">
        <v>0.84</v>
      </c>
      <c r="R104" s="3" t="s">
        <v>200</v>
      </c>
      <c r="S104" s="3" t="s">
        <v>570</v>
      </c>
      <c r="T104" s="3">
        <v>20</v>
      </c>
      <c r="U104" s="3" t="s">
        <v>43</v>
      </c>
      <c r="V104" s="3" t="s">
        <v>202</v>
      </c>
      <c r="W104" s="9"/>
      <c r="X104" s="9" t="s">
        <v>45</v>
      </c>
      <c r="Y104" s="9"/>
    </row>
    <row r="105" spans="1:25" ht="86" customHeight="1">
      <c r="A105" s="3" t="s">
        <v>571</v>
      </c>
      <c r="B105" s="3" t="s">
        <v>572</v>
      </c>
      <c r="C105" s="3" t="s">
        <v>573</v>
      </c>
      <c r="D105" s="3" t="s">
        <v>572</v>
      </c>
      <c r="E105" s="3" t="s">
        <v>30</v>
      </c>
      <c r="F105" s="3" t="s">
        <v>444</v>
      </c>
      <c r="G105" s="3" t="s">
        <v>445</v>
      </c>
      <c r="H105" s="3" t="s">
        <v>76</v>
      </c>
      <c r="I105" s="3" t="s">
        <v>34</v>
      </c>
      <c r="J105" s="3" t="s">
        <v>446</v>
      </c>
      <c r="K105" s="3" t="s">
        <v>574</v>
      </c>
      <c r="L105" s="3" t="s">
        <v>62</v>
      </c>
      <c r="M105" s="3" t="s">
        <v>57</v>
      </c>
      <c r="N105" s="3" t="s">
        <v>213</v>
      </c>
      <c r="O105" s="3" t="s">
        <v>39</v>
      </c>
      <c r="P105" s="3" t="s">
        <v>199</v>
      </c>
      <c r="Q105" s="6">
        <v>0.92</v>
      </c>
      <c r="R105" s="3" t="s">
        <v>200</v>
      </c>
      <c r="S105" s="3" t="s">
        <v>575</v>
      </c>
      <c r="T105" s="3">
        <v>32</v>
      </c>
      <c r="U105" s="3" t="s">
        <v>43</v>
      </c>
      <c r="V105" s="3" t="s">
        <v>202</v>
      </c>
      <c r="W105" s="9"/>
      <c r="X105" s="9" t="s">
        <v>45</v>
      </c>
      <c r="Y105" s="9"/>
    </row>
    <row r="106" spans="1:25" ht="86" customHeight="1">
      <c r="A106" s="3" t="s">
        <v>576</v>
      </c>
      <c r="B106" s="3" t="s">
        <v>577</v>
      </c>
      <c r="C106" s="3" t="s">
        <v>578</v>
      </c>
      <c r="D106" s="3" t="s">
        <v>577</v>
      </c>
      <c r="E106" s="3" t="s">
        <v>30</v>
      </c>
      <c r="F106" s="3" t="s">
        <v>444</v>
      </c>
      <c r="G106" s="3" t="s">
        <v>445</v>
      </c>
      <c r="H106" s="3" t="s">
        <v>33</v>
      </c>
      <c r="I106" s="3" t="s">
        <v>34</v>
      </c>
      <c r="J106" s="3" t="s">
        <v>34</v>
      </c>
      <c r="K106" s="3" t="s">
        <v>579</v>
      </c>
      <c r="L106" s="3" t="s">
        <v>319</v>
      </c>
      <c r="M106" s="3"/>
      <c r="N106" s="3" t="s">
        <v>100</v>
      </c>
      <c r="O106" s="3" t="s">
        <v>51</v>
      </c>
      <c r="P106" s="3" t="s">
        <v>40</v>
      </c>
      <c r="Q106" s="6">
        <v>0.78</v>
      </c>
      <c r="R106" s="3" t="s">
        <v>41</v>
      </c>
      <c r="S106" s="3" t="s">
        <v>580</v>
      </c>
      <c r="T106" s="3">
        <v>36</v>
      </c>
      <c r="U106" s="3" t="s">
        <v>43</v>
      </c>
      <c r="V106" s="3" t="s">
        <v>44</v>
      </c>
      <c r="W106" s="9"/>
      <c r="X106" s="9" t="s">
        <v>45</v>
      </c>
      <c r="Y106" s="9"/>
    </row>
    <row r="107" spans="1:25" ht="86" customHeight="1">
      <c r="A107" s="3" t="s">
        <v>581</v>
      </c>
      <c r="B107" s="3" t="s">
        <v>582</v>
      </c>
      <c r="C107" s="3" t="s">
        <v>583</v>
      </c>
      <c r="D107" s="3" t="s">
        <v>582</v>
      </c>
      <c r="E107" s="3" t="s">
        <v>30</v>
      </c>
      <c r="F107" s="3" t="s">
        <v>444</v>
      </c>
      <c r="G107" s="3" t="s">
        <v>445</v>
      </c>
      <c r="H107" s="3" t="s">
        <v>76</v>
      </c>
      <c r="I107" s="3" t="s">
        <v>34</v>
      </c>
      <c r="J107" s="3" t="s">
        <v>446</v>
      </c>
      <c r="K107" s="3" t="s">
        <v>584</v>
      </c>
      <c r="L107" s="3" t="s">
        <v>50</v>
      </c>
      <c r="M107" s="3"/>
      <c r="N107" s="3" t="s">
        <v>213</v>
      </c>
      <c r="O107" s="3" t="s">
        <v>39</v>
      </c>
      <c r="P107" s="3" t="s">
        <v>199</v>
      </c>
      <c r="Q107" s="6">
        <v>0.92</v>
      </c>
      <c r="R107" s="3" t="s">
        <v>200</v>
      </c>
      <c r="S107" s="3" t="s">
        <v>585</v>
      </c>
      <c r="T107" s="3">
        <v>31</v>
      </c>
      <c r="U107" s="3" t="s">
        <v>43</v>
      </c>
      <c r="V107" s="3" t="s">
        <v>202</v>
      </c>
      <c r="W107" s="9"/>
      <c r="X107" s="9" t="s">
        <v>45</v>
      </c>
      <c r="Y107" s="9"/>
    </row>
    <row r="108" spans="1:25" ht="86" customHeight="1">
      <c r="A108" s="3" t="s">
        <v>586</v>
      </c>
      <c r="B108" s="3" t="s">
        <v>587</v>
      </c>
      <c r="C108" s="3" t="s">
        <v>588</v>
      </c>
      <c r="D108" s="3" t="s">
        <v>587</v>
      </c>
      <c r="E108" s="3" t="s">
        <v>30</v>
      </c>
      <c r="F108" s="3" t="s">
        <v>444</v>
      </c>
      <c r="G108" s="3" t="s">
        <v>445</v>
      </c>
      <c r="H108" s="3" t="s">
        <v>76</v>
      </c>
      <c r="I108" s="3" t="s">
        <v>34</v>
      </c>
      <c r="J108" s="3" t="s">
        <v>446</v>
      </c>
      <c r="K108" s="3" t="s">
        <v>589</v>
      </c>
      <c r="L108" s="3" t="s">
        <v>62</v>
      </c>
      <c r="M108" s="3" t="s">
        <v>50</v>
      </c>
      <c r="N108" s="3" t="s">
        <v>213</v>
      </c>
      <c r="O108" s="3" t="s">
        <v>39</v>
      </c>
      <c r="P108" s="3" t="s">
        <v>199</v>
      </c>
      <c r="Q108" s="6">
        <v>0.92</v>
      </c>
      <c r="R108" s="3" t="s">
        <v>200</v>
      </c>
      <c r="S108" s="3" t="s">
        <v>590</v>
      </c>
      <c r="T108" s="3">
        <v>53</v>
      </c>
      <c r="U108" s="3" t="s">
        <v>43</v>
      </c>
      <c r="V108" s="3" t="s">
        <v>202</v>
      </c>
      <c r="W108" s="9"/>
      <c r="X108" s="9" t="s">
        <v>45</v>
      </c>
      <c r="Y108" s="9"/>
    </row>
    <row r="109" spans="1:25" ht="86" customHeight="1">
      <c r="A109" s="3" t="s">
        <v>591</v>
      </c>
      <c r="B109" s="3" t="s">
        <v>592</v>
      </c>
      <c r="C109" s="3" t="s">
        <v>593</v>
      </c>
      <c r="D109" s="3" t="s">
        <v>592</v>
      </c>
      <c r="E109" s="3" t="s">
        <v>30</v>
      </c>
      <c r="F109" s="3" t="s">
        <v>444</v>
      </c>
      <c r="G109" s="3" t="s">
        <v>445</v>
      </c>
      <c r="H109" s="3" t="s">
        <v>76</v>
      </c>
      <c r="I109" s="3" t="s">
        <v>34</v>
      </c>
      <c r="J109" s="3" t="s">
        <v>446</v>
      </c>
      <c r="K109" s="3" t="s">
        <v>594</v>
      </c>
      <c r="L109" s="3" t="s">
        <v>50</v>
      </c>
      <c r="M109" s="3"/>
      <c r="N109" s="3" t="s">
        <v>213</v>
      </c>
      <c r="O109" s="3" t="s">
        <v>39</v>
      </c>
      <c r="P109" s="3" t="s">
        <v>199</v>
      </c>
      <c r="Q109" s="6">
        <v>0.84</v>
      </c>
      <c r="R109" s="3" t="s">
        <v>200</v>
      </c>
      <c r="S109" s="3" t="s">
        <v>595</v>
      </c>
      <c r="T109" s="3">
        <v>17</v>
      </c>
      <c r="U109" s="3" t="s">
        <v>43</v>
      </c>
      <c r="V109" s="3" t="s">
        <v>202</v>
      </c>
      <c r="W109" s="9"/>
      <c r="X109" s="9" t="s">
        <v>45</v>
      </c>
      <c r="Y109" s="9"/>
    </row>
    <row r="110" spans="1:25" ht="86" customHeight="1">
      <c r="A110" s="3" t="s">
        <v>596</v>
      </c>
      <c r="B110" s="3" t="s">
        <v>597</v>
      </c>
      <c r="C110" s="3" t="s">
        <v>598</v>
      </c>
      <c r="D110" s="3" t="s">
        <v>597</v>
      </c>
      <c r="E110" s="3" t="s">
        <v>30</v>
      </c>
      <c r="F110" s="3" t="s">
        <v>444</v>
      </c>
      <c r="G110" s="3" t="s">
        <v>445</v>
      </c>
      <c r="H110" s="3" t="s">
        <v>76</v>
      </c>
      <c r="I110" s="3" t="s">
        <v>34</v>
      </c>
      <c r="J110" s="3" t="s">
        <v>446</v>
      </c>
      <c r="K110" s="3" t="s">
        <v>599</v>
      </c>
      <c r="L110" s="3" t="s">
        <v>71</v>
      </c>
      <c r="M110" s="3"/>
      <c r="N110" s="3" t="s">
        <v>213</v>
      </c>
      <c r="O110" s="3" t="s">
        <v>39</v>
      </c>
      <c r="P110" s="3" t="s">
        <v>199</v>
      </c>
      <c r="Q110" s="6">
        <v>0.92</v>
      </c>
      <c r="R110" s="3" t="s">
        <v>200</v>
      </c>
      <c r="S110" s="3" t="s">
        <v>600</v>
      </c>
      <c r="T110" s="3">
        <v>55</v>
      </c>
      <c r="U110" s="3" t="s">
        <v>43</v>
      </c>
      <c r="V110" s="3" t="s">
        <v>202</v>
      </c>
      <c r="W110" s="9"/>
      <c r="X110" s="9" t="s">
        <v>45</v>
      </c>
      <c r="Y110" s="9"/>
    </row>
    <row r="111" spans="1:25" ht="86" customHeight="1">
      <c r="A111" s="3" t="s">
        <v>601</v>
      </c>
      <c r="B111" s="3" t="s">
        <v>602</v>
      </c>
      <c r="C111" s="3" t="s">
        <v>603</v>
      </c>
      <c r="D111" s="3" t="s">
        <v>602</v>
      </c>
      <c r="E111" s="3" t="s">
        <v>30</v>
      </c>
      <c r="F111" s="3" t="s">
        <v>444</v>
      </c>
      <c r="G111" s="3" t="s">
        <v>445</v>
      </c>
      <c r="H111" s="3" t="s">
        <v>33</v>
      </c>
      <c r="I111" s="3" t="s">
        <v>34</v>
      </c>
      <c r="J111" s="3" t="s">
        <v>34</v>
      </c>
      <c r="K111" s="3" t="s">
        <v>604</v>
      </c>
      <c r="L111" s="3" t="s">
        <v>319</v>
      </c>
      <c r="M111" s="3"/>
      <c r="N111" s="3" t="s">
        <v>38</v>
      </c>
      <c r="O111" s="3" t="s">
        <v>51</v>
      </c>
      <c r="P111" s="3" t="s">
        <v>40</v>
      </c>
      <c r="Q111" s="6">
        <v>0.78</v>
      </c>
      <c r="R111" s="3" t="s">
        <v>41</v>
      </c>
      <c r="S111" s="3" t="s">
        <v>605</v>
      </c>
      <c r="T111" s="3">
        <v>34</v>
      </c>
      <c r="U111" s="3" t="s">
        <v>43</v>
      </c>
      <c r="V111" s="3" t="s">
        <v>44</v>
      </c>
      <c r="W111" s="9"/>
      <c r="X111" s="9" t="s">
        <v>45</v>
      </c>
      <c r="Y111" s="9"/>
    </row>
    <row r="112" spans="1:25" ht="86" customHeight="1">
      <c r="A112" s="3" t="s">
        <v>606</v>
      </c>
      <c r="B112" s="3" t="s">
        <v>607</v>
      </c>
      <c r="C112" s="3" t="s">
        <v>608</v>
      </c>
      <c r="D112" s="3" t="s">
        <v>607</v>
      </c>
      <c r="E112" s="3" t="s">
        <v>30</v>
      </c>
      <c r="F112" s="3" t="s">
        <v>444</v>
      </c>
      <c r="G112" s="3" t="s">
        <v>445</v>
      </c>
      <c r="H112" s="3" t="s">
        <v>76</v>
      </c>
      <c r="I112" s="3" t="s">
        <v>34</v>
      </c>
      <c r="J112" s="3" t="s">
        <v>446</v>
      </c>
      <c r="K112" s="3" t="s">
        <v>609</v>
      </c>
      <c r="L112" s="3" t="s">
        <v>50</v>
      </c>
      <c r="M112" s="3"/>
      <c r="N112" s="3" t="s">
        <v>100</v>
      </c>
      <c r="O112" s="3" t="s">
        <v>39</v>
      </c>
      <c r="P112" s="3" t="s">
        <v>199</v>
      </c>
      <c r="Q112" s="6">
        <v>0.84</v>
      </c>
      <c r="R112" s="3" t="s">
        <v>200</v>
      </c>
      <c r="S112" s="3" t="s">
        <v>610</v>
      </c>
      <c r="T112" s="3">
        <v>22</v>
      </c>
      <c r="U112" s="3" t="s">
        <v>43</v>
      </c>
      <c r="V112" s="3" t="s">
        <v>202</v>
      </c>
      <c r="W112" s="9"/>
      <c r="X112" s="9" t="s">
        <v>45</v>
      </c>
      <c r="Y112" s="9"/>
    </row>
    <row r="113" spans="1:25" ht="86" customHeight="1">
      <c r="A113" s="3" t="s">
        <v>611</v>
      </c>
      <c r="B113" s="3" t="s">
        <v>612</v>
      </c>
      <c r="C113" s="3" t="s">
        <v>613</v>
      </c>
      <c r="D113" s="3" t="s">
        <v>612</v>
      </c>
      <c r="E113" s="3" t="s">
        <v>30</v>
      </c>
      <c r="F113" s="3" t="s">
        <v>444</v>
      </c>
      <c r="G113" s="3" t="s">
        <v>445</v>
      </c>
      <c r="H113" s="3" t="s">
        <v>76</v>
      </c>
      <c r="I113" s="3" t="s">
        <v>34</v>
      </c>
      <c r="J113" s="3" t="s">
        <v>446</v>
      </c>
      <c r="K113" s="3" t="s">
        <v>614</v>
      </c>
      <c r="L113" s="3" t="s">
        <v>50</v>
      </c>
      <c r="M113" s="3"/>
      <c r="N113" s="3" t="s">
        <v>100</v>
      </c>
      <c r="O113" s="3" t="s">
        <v>51</v>
      </c>
      <c r="P113" s="3" t="s">
        <v>199</v>
      </c>
      <c r="Q113" s="6">
        <v>0.92</v>
      </c>
      <c r="R113" s="3" t="s">
        <v>200</v>
      </c>
      <c r="S113" s="3" t="s">
        <v>615</v>
      </c>
      <c r="T113" s="3">
        <v>26</v>
      </c>
      <c r="U113" s="3" t="s">
        <v>43</v>
      </c>
      <c r="V113" s="3" t="s">
        <v>202</v>
      </c>
      <c r="W113" s="9"/>
      <c r="X113" s="9" t="s">
        <v>45</v>
      </c>
      <c r="Y113" s="9"/>
    </row>
    <row r="114" spans="1:25" ht="86" customHeight="1">
      <c r="A114" s="3" t="s">
        <v>616</v>
      </c>
      <c r="B114" s="3" t="s">
        <v>617</v>
      </c>
      <c r="C114" s="3" t="s">
        <v>618</v>
      </c>
      <c r="D114" s="3" t="s">
        <v>617</v>
      </c>
      <c r="E114" s="3" t="s">
        <v>30</v>
      </c>
      <c r="F114" s="3" t="s">
        <v>619</v>
      </c>
      <c r="G114" s="3" t="s">
        <v>620</v>
      </c>
      <c r="H114" s="3" t="s">
        <v>76</v>
      </c>
      <c r="I114" s="3" t="s">
        <v>34</v>
      </c>
      <c r="J114" s="3" t="s">
        <v>621</v>
      </c>
      <c r="K114" s="3" t="s">
        <v>622</v>
      </c>
      <c r="L114" s="3" t="s">
        <v>49</v>
      </c>
      <c r="M114" s="3"/>
      <c r="N114" s="3" t="s">
        <v>213</v>
      </c>
      <c r="O114" s="3" t="s">
        <v>39</v>
      </c>
      <c r="P114" s="3" t="s">
        <v>199</v>
      </c>
      <c r="Q114" s="6">
        <v>0.92</v>
      </c>
      <c r="R114" s="3" t="s">
        <v>200</v>
      </c>
      <c r="S114" s="3" t="s">
        <v>623</v>
      </c>
      <c r="T114" s="3">
        <v>49</v>
      </c>
      <c r="U114" s="3" t="s">
        <v>43</v>
      </c>
      <c r="V114" s="3" t="s">
        <v>202</v>
      </c>
      <c r="W114" s="9"/>
      <c r="X114" s="9" t="s">
        <v>45</v>
      </c>
      <c r="Y114" s="9"/>
    </row>
    <row r="115" spans="1:25" ht="86" customHeight="1">
      <c r="A115" s="3" t="s">
        <v>624</v>
      </c>
      <c r="B115" s="3" t="s">
        <v>625</v>
      </c>
      <c r="C115" s="3" t="s">
        <v>626</v>
      </c>
      <c r="D115" s="3" t="s">
        <v>625</v>
      </c>
      <c r="E115" s="3" t="s">
        <v>30</v>
      </c>
      <c r="F115" s="3" t="s">
        <v>619</v>
      </c>
      <c r="G115" s="3" t="s">
        <v>620</v>
      </c>
      <c r="H115" s="3" t="s">
        <v>76</v>
      </c>
      <c r="I115" s="3" t="s">
        <v>34</v>
      </c>
      <c r="J115" s="3" t="s">
        <v>621</v>
      </c>
      <c r="K115" s="3" t="s">
        <v>627</v>
      </c>
      <c r="L115" s="3" t="s">
        <v>49</v>
      </c>
      <c r="M115" s="3" t="s">
        <v>628</v>
      </c>
      <c r="N115" s="3" t="s">
        <v>38</v>
      </c>
      <c r="O115" s="3" t="s">
        <v>51</v>
      </c>
      <c r="P115" s="3" t="s">
        <v>40</v>
      </c>
      <c r="Q115" s="6">
        <v>0.84</v>
      </c>
      <c r="R115" s="3" t="s">
        <v>41</v>
      </c>
      <c r="S115" s="3" t="s">
        <v>629</v>
      </c>
      <c r="T115" s="3">
        <v>147</v>
      </c>
      <c r="U115" s="3" t="s">
        <v>43</v>
      </c>
      <c r="V115" s="3" t="s">
        <v>44</v>
      </c>
      <c r="W115" s="9"/>
      <c r="X115" s="9" t="s">
        <v>45</v>
      </c>
      <c r="Y115" s="9"/>
    </row>
    <row r="116" spans="1:25" ht="86" customHeight="1">
      <c r="A116" s="3" t="s">
        <v>630</v>
      </c>
      <c r="B116" s="3" t="s">
        <v>631</v>
      </c>
      <c r="C116" s="3" t="s">
        <v>632</v>
      </c>
      <c r="D116" s="3" t="s">
        <v>631</v>
      </c>
      <c r="E116" s="3" t="s">
        <v>30</v>
      </c>
      <c r="F116" s="3" t="s">
        <v>619</v>
      </c>
      <c r="G116" s="3" t="s">
        <v>620</v>
      </c>
      <c r="H116" s="3" t="s">
        <v>33</v>
      </c>
      <c r="I116" s="3" t="s">
        <v>621</v>
      </c>
      <c r="J116" s="3" t="s">
        <v>621</v>
      </c>
      <c r="K116" s="3" t="s">
        <v>627</v>
      </c>
      <c r="L116" s="3" t="s">
        <v>49</v>
      </c>
      <c r="M116" s="3" t="s">
        <v>36</v>
      </c>
      <c r="N116" s="3" t="s">
        <v>38</v>
      </c>
      <c r="O116" s="3" t="s">
        <v>51</v>
      </c>
      <c r="P116" s="3" t="s">
        <v>40</v>
      </c>
      <c r="Q116" s="6">
        <v>0.78</v>
      </c>
      <c r="R116" s="3" t="s">
        <v>41</v>
      </c>
      <c r="S116" s="3" t="s">
        <v>633</v>
      </c>
      <c r="T116" s="3">
        <v>24</v>
      </c>
      <c r="U116" s="3" t="s">
        <v>43</v>
      </c>
      <c r="V116" s="3" t="s">
        <v>44</v>
      </c>
      <c r="W116" s="9"/>
      <c r="X116" s="9" t="s">
        <v>45</v>
      </c>
      <c r="Y116" s="9"/>
    </row>
    <row r="117" spans="1:25" ht="86" customHeight="1">
      <c r="A117" s="3" t="s">
        <v>634</v>
      </c>
      <c r="B117" s="3" t="s">
        <v>635</v>
      </c>
      <c r="C117" s="3" t="s">
        <v>636</v>
      </c>
      <c r="D117" s="3" t="s">
        <v>635</v>
      </c>
      <c r="E117" s="3" t="s">
        <v>30</v>
      </c>
      <c r="F117" s="3" t="s">
        <v>619</v>
      </c>
      <c r="G117" s="3" t="s">
        <v>620</v>
      </c>
      <c r="H117" s="3" t="s">
        <v>76</v>
      </c>
      <c r="I117" s="3" t="s">
        <v>34</v>
      </c>
      <c r="J117" s="3" t="s">
        <v>621</v>
      </c>
      <c r="K117" s="3" t="s">
        <v>637</v>
      </c>
      <c r="L117" s="3" t="s">
        <v>49</v>
      </c>
      <c r="M117" s="3"/>
      <c r="N117" s="3" t="s">
        <v>38</v>
      </c>
      <c r="O117" s="3" t="s">
        <v>39</v>
      </c>
      <c r="P117" s="3" t="s">
        <v>40</v>
      </c>
      <c r="Q117" s="6">
        <v>0.84</v>
      </c>
      <c r="R117" s="3" t="s">
        <v>41</v>
      </c>
      <c r="S117" s="3" t="s">
        <v>638</v>
      </c>
      <c r="T117" s="3">
        <v>17</v>
      </c>
      <c r="U117" s="3" t="s">
        <v>43</v>
      </c>
      <c r="V117" s="3" t="s">
        <v>44</v>
      </c>
      <c r="W117" s="9"/>
      <c r="X117" s="9" t="s">
        <v>45</v>
      </c>
      <c r="Y117" s="9"/>
    </row>
    <row r="118" spans="1:25" ht="86" customHeight="1">
      <c r="A118" s="3" t="s">
        <v>639</v>
      </c>
      <c r="B118" s="3" t="s">
        <v>640</v>
      </c>
      <c r="C118" s="3" t="s">
        <v>641</v>
      </c>
      <c r="D118" s="3" t="s">
        <v>640</v>
      </c>
      <c r="E118" s="3" t="s">
        <v>30</v>
      </c>
      <c r="F118" s="3" t="s">
        <v>619</v>
      </c>
      <c r="G118" s="3" t="s">
        <v>620</v>
      </c>
      <c r="H118" s="3" t="s">
        <v>76</v>
      </c>
      <c r="I118" s="3" t="s">
        <v>34</v>
      </c>
      <c r="J118" s="3" t="s">
        <v>621</v>
      </c>
      <c r="K118" s="3" t="s">
        <v>642</v>
      </c>
      <c r="L118" s="3" t="s">
        <v>49</v>
      </c>
      <c r="M118" s="3"/>
      <c r="N118" s="3" t="s">
        <v>38</v>
      </c>
      <c r="O118" s="3" t="s">
        <v>51</v>
      </c>
      <c r="P118" s="3" t="s">
        <v>40</v>
      </c>
      <c r="Q118" s="6">
        <v>0.84</v>
      </c>
      <c r="R118" s="3" t="s">
        <v>41</v>
      </c>
      <c r="S118" s="3" t="s">
        <v>643</v>
      </c>
      <c r="T118" s="3">
        <v>36</v>
      </c>
      <c r="U118" s="3" t="s">
        <v>43</v>
      </c>
      <c r="V118" s="3" t="s">
        <v>44</v>
      </c>
      <c r="W118" s="9"/>
      <c r="X118" s="9" t="s">
        <v>45</v>
      </c>
      <c r="Y118" s="9"/>
    </row>
    <row r="119" spans="1:25" ht="86" customHeight="1">
      <c r="A119" s="3" t="s">
        <v>644</v>
      </c>
      <c r="B119" s="3" t="s">
        <v>645</v>
      </c>
      <c r="C119" s="3" t="s">
        <v>646</v>
      </c>
      <c r="D119" s="3" t="s">
        <v>645</v>
      </c>
      <c r="E119" s="3" t="s">
        <v>30</v>
      </c>
      <c r="F119" s="3" t="s">
        <v>619</v>
      </c>
      <c r="G119" s="3" t="s">
        <v>620</v>
      </c>
      <c r="H119" s="3" t="s">
        <v>76</v>
      </c>
      <c r="I119" s="3" t="s">
        <v>34</v>
      </c>
      <c r="J119" s="3" t="s">
        <v>621</v>
      </c>
      <c r="K119" s="3" t="s">
        <v>647</v>
      </c>
      <c r="L119" s="3" t="s">
        <v>49</v>
      </c>
      <c r="M119" s="3" t="s">
        <v>62</v>
      </c>
      <c r="N119" s="3" t="s">
        <v>38</v>
      </c>
      <c r="O119" s="3" t="s">
        <v>39</v>
      </c>
      <c r="P119" s="3" t="s">
        <v>40</v>
      </c>
      <c r="Q119" s="6">
        <v>0.84</v>
      </c>
      <c r="R119" s="3" t="s">
        <v>41</v>
      </c>
      <c r="S119" s="3" t="s">
        <v>648</v>
      </c>
      <c r="T119" s="3">
        <v>407</v>
      </c>
      <c r="U119" s="3" t="s">
        <v>43</v>
      </c>
      <c r="V119" s="3" t="s">
        <v>44</v>
      </c>
      <c r="W119" s="9"/>
      <c r="X119" s="9" t="s">
        <v>45</v>
      </c>
      <c r="Y119" s="9"/>
    </row>
    <row r="120" spans="1:25" ht="86" customHeight="1">
      <c r="A120" s="3" t="s">
        <v>649</v>
      </c>
      <c r="B120" s="3" t="s">
        <v>650</v>
      </c>
      <c r="C120" s="3" t="s">
        <v>651</v>
      </c>
      <c r="D120" s="3" t="s">
        <v>650</v>
      </c>
      <c r="E120" s="3" t="s">
        <v>30</v>
      </c>
      <c r="F120" s="3" t="s">
        <v>619</v>
      </c>
      <c r="G120" s="3" t="s">
        <v>620</v>
      </c>
      <c r="H120" s="3" t="s">
        <v>76</v>
      </c>
      <c r="I120" s="3" t="s">
        <v>34</v>
      </c>
      <c r="J120" s="3" t="s">
        <v>621</v>
      </c>
      <c r="K120" s="3" t="s">
        <v>652</v>
      </c>
      <c r="L120" s="3" t="s">
        <v>49</v>
      </c>
      <c r="M120" s="3" t="s">
        <v>62</v>
      </c>
      <c r="N120" s="3" t="s">
        <v>38</v>
      </c>
      <c r="O120" s="3" t="s">
        <v>39</v>
      </c>
      <c r="P120" s="3" t="s">
        <v>40</v>
      </c>
      <c r="Q120" s="6">
        <v>0.84</v>
      </c>
      <c r="R120" s="3" t="s">
        <v>41</v>
      </c>
      <c r="S120" s="3" t="s">
        <v>653</v>
      </c>
      <c r="T120" s="3">
        <v>275</v>
      </c>
      <c r="U120" s="3" t="s">
        <v>43</v>
      </c>
      <c r="V120" s="3" t="s">
        <v>44</v>
      </c>
      <c r="W120" s="9"/>
      <c r="X120" s="9" t="s">
        <v>45</v>
      </c>
      <c r="Y120" s="9"/>
    </row>
    <row r="121" spans="1:25" ht="86" customHeight="1">
      <c r="A121" s="3" t="s">
        <v>654</v>
      </c>
      <c r="B121" s="3" t="s">
        <v>655</v>
      </c>
      <c r="C121" s="3" t="s">
        <v>656</v>
      </c>
      <c r="D121" s="3" t="s">
        <v>655</v>
      </c>
      <c r="E121" s="3" t="s">
        <v>30</v>
      </c>
      <c r="F121" s="3" t="s">
        <v>619</v>
      </c>
      <c r="G121" s="3" t="s">
        <v>620</v>
      </c>
      <c r="H121" s="3" t="s">
        <v>76</v>
      </c>
      <c r="I121" s="3" t="s">
        <v>34</v>
      </c>
      <c r="J121" s="3" t="s">
        <v>621</v>
      </c>
      <c r="K121" s="3" t="s">
        <v>657</v>
      </c>
      <c r="L121" s="3" t="s">
        <v>49</v>
      </c>
      <c r="M121" s="3"/>
      <c r="N121" s="3" t="s">
        <v>100</v>
      </c>
      <c r="O121" s="3" t="s">
        <v>51</v>
      </c>
      <c r="P121" s="3" t="s">
        <v>199</v>
      </c>
      <c r="Q121" s="6">
        <v>0.92</v>
      </c>
      <c r="R121" s="3" t="s">
        <v>200</v>
      </c>
      <c r="S121" s="3" t="s">
        <v>658</v>
      </c>
      <c r="T121" s="3">
        <v>48</v>
      </c>
      <c r="U121" s="3" t="s">
        <v>43</v>
      </c>
      <c r="V121" s="3" t="s">
        <v>202</v>
      </c>
      <c r="W121" s="9"/>
      <c r="X121" s="9" t="s">
        <v>45</v>
      </c>
      <c r="Y121" s="9"/>
    </row>
    <row r="122" spans="1:25" ht="86" customHeight="1">
      <c r="A122" s="3" t="s">
        <v>659</v>
      </c>
      <c r="B122" s="3" t="s">
        <v>660</v>
      </c>
      <c r="C122" s="3" t="s">
        <v>661</v>
      </c>
      <c r="D122" s="3" t="s">
        <v>660</v>
      </c>
      <c r="E122" s="3" t="s">
        <v>30</v>
      </c>
      <c r="F122" s="3" t="s">
        <v>619</v>
      </c>
      <c r="G122" s="3" t="s">
        <v>620</v>
      </c>
      <c r="H122" s="3" t="s">
        <v>33</v>
      </c>
      <c r="I122" s="3" t="s">
        <v>34</v>
      </c>
      <c r="J122" s="3" t="s">
        <v>34</v>
      </c>
      <c r="K122" s="3" t="s">
        <v>657</v>
      </c>
      <c r="L122" s="3" t="s">
        <v>49</v>
      </c>
      <c r="M122" s="3" t="s">
        <v>36</v>
      </c>
      <c r="N122" s="3" t="s">
        <v>38</v>
      </c>
      <c r="O122" s="3" t="s">
        <v>51</v>
      </c>
      <c r="P122" s="3" t="s">
        <v>40</v>
      </c>
      <c r="Q122" s="6">
        <v>0.78</v>
      </c>
      <c r="R122" s="3" t="s">
        <v>41</v>
      </c>
      <c r="S122" s="3" t="s">
        <v>662</v>
      </c>
      <c r="T122" s="3">
        <v>63</v>
      </c>
      <c r="U122" s="3" t="s">
        <v>43</v>
      </c>
      <c r="V122" s="3" t="s">
        <v>44</v>
      </c>
      <c r="W122" s="9"/>
      <c r="X122" s="9" t="s">
        <v>45</v>
      </c>
      <c r="Y122" s="9"/>
    </row>
    <row r="123" spans="1:25" ht="86" customHeight="1">
      <c r="A123" s="3" t="s">
        <v>663</v>
      </c>
      <c r="B123" s="3" t="s">
        <v>664</v>
      </c>
      <c r="C123" s="3" t="s">
        <v>665</v>
      </c>
      <c r="D123" s="3" t="s">
        <v>666</v>
      </c>
      <c r="E123" s="3" t="s">
        <v>51</v>
      </c>
      <c r="F123" s="3" t="s">
        <v>619</v>
      </c>
      <c r="G123" s="3" t="s">
        <v>620</v>
      </c>
      <c r="H123" s="3" t="s">
        <v>33</v>
      </c>
      <c r="I123" s="3" t="s">
        <v>34</v>
      </c>
      <c r="J123" s="3" t="s">
        <v>34</v>
      </c>
      <c r="K123" s="3" t="s">
        <v>667</v>
      </c>
      <c r="L123" s="3" t="s">
        <v>49</v>
      </c>
      <c r="M123" s="3"/>
      <c r="N123" s="3" t="s">
        <v>100</v>
      </c>
      <c r="O123" s="3" t="s">
        <v>51</v>
      </c>
      <c r="P123" s="3" t="s">
        <v>40</v>
      </c>
      <c r="Q123" s="6">
        <v>0.78</v>
      </c>
      <c r="R123" s="3" t="s">
        <v>41</v>
      </c>
      <c r="S123" s="3" t="s">
        <v>668</v>
      </c>
      <c r="T123" s="3">
        <v>38</v>
      </c>
      <c r="U123" s="3" t="s">
        <v>43</v>
      </c>
      <c r="V123" s="3" t="s">
        <v>44</v>
      </c>
      <c r="W123" s="9"/>
      <c r="X123" s="9" t="s">
        <v>45</v>
      </c>
      <c r="Y123" s="9"/>
    </row>
    <row r="124" spans="1:25" ht="86" customHeight="1">
      <c r="A124" s="3" t="s">
        <v>669</v>
      </c>
      <c r="B124" s="3" t="s">
        <v>670</v>
      </c>
      <c r="C124" s="3" t="s">
        <v>671</v>
      </c>
      <c r="D124" s="3" t="s">
        <v>670</v>
      </c>
      <c r="E124" s="3" t="s">
        <v>30</v>
      </c>
      <c r="F124" s="3" t="s">
        <v>619</v>
      </c>
      <c r="G124" s="3" t="s">
        <v>620</v>
      </c>
      <c r="H124" s="3" t="s">
        <v>33</v>
      </c>
      <c r="I124" s="3" t="s">
        <v>34</v>
      </c>
      <c r="J124" s="3" t="s">
        <v>34</v>
      </c>
      <c r="K124" s="3" t="s">
        <v>667</v>
      </c>
      <c r="L124" s="3" t="s">
        <v>49</v>
      </c>
      <c r="M124" s="3"/>
      <c r="N124" s="3" t="s">
        <v>38</v>
      </c>
      <c r="O124" s="3" t="s">
        <v>51</v>
      </c>
      <c r="P124" s="3" t="s">
        <v>40</v>
      </c>
      <c r="Q124" s="6">
        <v>0.78</v>
      </c>
      <c r="R124" s="3" t="s">
        <v>41</v>
      </c>
      <c r="S124" s="3" t="s">
        <v>672</v>
      </c>
      <c r="T124" s="3">
        <v>66</v>
      </c>
      <c r="U124" s="3" t="s">
        <v>43</v>
      </c>
      <c r="V124" s="3" t="s">
        <v>44</v>
      </c>
      <c r="W124" s="9"/>
      <c r="X124" s="9" t="s">
        <v>45</v>
      </c>
      <c r="Y124" s="9"/>
    </row>
    <row r="125" spans="1:25" ht="86" customHeight="1">
      <c r="A125" s="3" t="s">
        <v>673</v>
      </c>
      <c r="B125" s="3" t="s">
        <v>674</v>
      </c>
      <c r="C125" s="3" t="s">
        <v>675</v>
      </c>
      <c r="D125" s="3" t="s">
        <v>674</v>
      </c>
      <c r="E125" s="3" t="s">
        <v>30</v>
      </c>
      <c r="F125" s="3" t="s">
        <v>619</v>
      </c>
      <c r="G125" s="3" t="s">
        <v>620</v>
      </c>
      <c r="H125" s="3" t="s">
        <v>76</v>
      </c>
      <c r="I125" s="3" t="s">
        <v>34</v>
      </c>
      <c r="J125" s="3" t="s">
        <v>621</v>
      </c>
      <c r="K125" s="3" t="s">
        <v>676</v>
      </c>
      <c r="L125" s="3" t="s">
        <v>49</v>
      </c>
      <c r="M125" s="3" t="s">
        <v>71</v>
      </c>
      <c r="N125" s="3" t="s">
        <v>100</v>
      </c>
      <c r="O125" s="3" t="s">
        <v>51</v>
      </c>
      <c r="P125" s="3" t="s">
        <v>199</v>
      </c>
      <c r="Q125" s="6">
        <v>0.92</v>
      </c>
      <c r="R125" s="3" t="s">
        <v>200</v>
      </c>
      <c r="S125" s="3" t="s">
        <v>677</v>
      </c>
      <c r="T125" s="3">
        <v>62</v>
      </c>
      <c r="U125" s="3" t="s">
        <v>43</v>
      </c>
      <c r="V125" s="3" t="s">
        <v>202</v>
      </c>
      <c r="W125" s="9"/>
      <c r="X125" s="9" t="s">
        <v>45</v>
      </c>
      <c r="Y125" s="9"/>
    </row>
    <row r="126" spans="1:25" ht="86" customHeight="1">
      <c r="A126" s="3" t="s">
        <v>678</v>
      </c>
      <c r="B126" s="3" t="s">
        <v>679</v>
      </c>
      <c r="C126" s="3" t="s">
        <v>680</v>
      </c>
      <c r="D126" s="3" t="s">
        <v>679</v>
      </c>
      <c r="E126" s="3" t="s">
        <v>30</v>
      </c>
      <c r="F126" s="3" t="s">
        <v>619</v>
      </c>
      <c r="G126" s="3" t="s">
        <v>620</v>
      </c>
      <c r="H126" s="3" t="s">
        <v>76</v>
      </c>
      <c r="I126" s="3" t="s">
        <v>34</v>
      </c>
      <c r="J126" s="3" t="s">
        <v>621</v>
      </c>
      <c r="K126" s="3" t="s">
        <v>681</v>
      </c>
      <c r="L126" s="3" t="s">
        <v>49</v>
      </c>
      <c r="M126" s="3"/>
      <c r="N126" s="3" t="s">
        <v>100</v>
      </c>
      <c r="O126" s="3" t="s">
        <v>39</v>
      </c>
      <c r="P126" s="3" t="s">
        <v>199</v>
      </c>
      <c r="Q126" s="6">
        <v>0.84</v>
      </c>
      <c r="R126" s="3" t="s">
        <v>200</v>
      </c>
      <c r="S126" s="3" t="s">
        <v>682</v>
      </c>
      <c r="T126" s="3">
        <v>3</v>
      </c>
      <c r="U126" s="3" t="s">
        <v>43</v>
      </c>
      <c r="V126" s="3" t="s">
        <v>202</v>
      </c>
      <c r="W126" s="9"/>
      <c r="X126" s="9" t="s">
        <v>45</v>
      </c>
      <c r="Y126" s="9"/>
    </row>
    <row r="127" spans="1:25" ht="86" customHeight="1">
      <c r="A127" s="3" t="s">
        <v>683</v>
      </c>
      <c r="B127" s="3" t="s">
        <v>684</v>
      </c>
      <c r="C127" s="3" t="s">
        <v>685</v>
      </c>
      <c r="D127" s="3" t="s">
        <v>684</v>
      </c>
      <c r="E127" s="3" t="s">
        <v>30</v>
      </c>
      <c r="F127" s="3" t="s">
        <v>619</v>
      </c>
      <c r="G127" s="3" t="s">
        <v>620</v>
      </c>
      <c r="H127" s="3" t="s">
        <v>76</v>
      </c>
      <c r="I127" s="3" t="s">
        <v>34</v>
      </c>
      <c r="J127" s="3" t="s">
        <v>621</v>
      </c>
      <c r="K127" s="3" t="s">
        <v>686</v>
      </c>
      <c r="L127" s="3" t="s">
        <v>49</v>
      </c>
      <c r="M127" s="3"/>
      <c r="N127" s="3" t="s">
        <v>38</v>
      </c>
      <c r="O127" s="3" t="s">
        <v>51</v>
      </c>
      <c r="P127" s="3" t="s">
        <v>40</v>
      </c>
      <c r="Q127" s="6">
        <v>0.84</v>
      </c>
      <c r="R127" s="3" t="s">
        <v>41</v>
      </c>
      <c r="S127" s="3" t="s">
        <v>687</v>
      </c>
      <c r="T127" s="3">
        <v>31</v>
      </c>
      <c r="U127" s="3" t="s">
        <v>43</v>
      </c>
      <c r="V127" s="3" t="s">
        <v>44</v>
      </c>
      <c r="W127" s="9"/>
      <c r="X127" s="9" t="s">
        <v>45</v>
      </c>
      <c r="Y127" s="9"/>
    </row>
    <row r="128" spans="1:25" ht="86" customHeight="1">
      <c r="A128" s="3" t="s">
        <v>688</v>
      </c>
      <c r="B128" s="3" t="s">
        <v>689</v>
      </c>
      <c r="C128" s="3" t="s">
        <v>690</v>
      </c>
      <c r="D128" s="3" t="s">
        <v>689</v>
      </c>
      <c r="E128" s="3" t="s">
        <v>30</v>
      </c>
      <c r="F128" s="3" t="s">
        <v>619</v>
      </c>
      <c r="G128" s="3" t="s">
        <v>620</v>
      </c>
      <c r="H128" s="3" t="s">
        <v>76</v>
      </c>
      <c r="I128" s="3" t="s">
        <v>34</v>
      </c>
      <c r="J128" s="3" t="s">
        <v>621</v>
      </c>
      <c r="K128" s="3" t="s">
        <v>691</v>
      </c>
      <c r="L128" s="3" t="s">
        <v>36</v>
      </c>
      <c r="M128" s="3"/>
      <c r="N128" s="3" t="s">
        <v>213</v>
      </c>
      <c r="O128" s="3" t="s">
        <v>39</v>
      </c>
      <c r="P128" s="3" t="s">
        <v>199</v>
      </c>
      <c r="Q128" s="6">
        <v>0.84</v>
      </c>
      <c r="R128" s="3" t="s">
        <v>200</v>
      </c>
      <c r="S128" s="3" t="s">
        <v>692</v>
      </c>
      <c r="T128" s="3">
        <v>9</v>
      </c>
      <c r="U128" s="3" t="s">
        <v>43</v>
      </c>
      <c r="V128" s="3" t="s">
        <v>202</v>
      </c>
      <c r="W128" s="9"/>
      <c r="X128" s="9" t="s">
        <v>45</v>
      </c>
      <c r="Y128" s="9"/>
    </row>
    <row r="129" spans="1:25" ht="86" customHeight="1">
      <c r="A129" s="3" t="s">
        <v>693</v>
      </c>
      <c r="B129" s="3" t="s">
        <v>694</v>
      </c>
      <c r="C129" s="3" t="s">
        <v>695</v>
      </c>
      <c r="D129" s="3" t="s">
        <v>694</v>
      </c>
      <c r="E129" s="3" t="s">
        <v>30</v>
      </c>
      <c r="F129" s="3" t="s">
        <v>619</v>
      </c>
      <c r="G129" s="3" t="s">
        <v>620</v>
      </c>
      <c r="H129" s="3" t="s">
        <v>76</v>
      </c>
      <c r="I129" s="3" t="s">
        <v>34</v>
      </c>
      <c r="J129" s="3" t="s">
        <v>621</v>
      </c>
      <c r="K129" s="3" t="s">
        <v>696</v>
      </c>
      <c r="L129" s="3" t="s">
        <v>50</v>
      </c>
      <c r="M129" s="3"/>
      <c r="N129" s="3" t="s">
        <v>235</v>
      </c>
      <c r="O129" s="3" t="s">
        <v>39</v>
      </c>
      <c r="P129" s="3" t="s">
        <v>199</v>
      </c>
      <c r="Q129" s="6">
        <v>0.84</v>
      </c>
      <c r="R129" s="3" t="s">
        <v>200</v>
      </c>
      <c r="S129" s="3" t="s">
        <v>697</v>
      </c>
      <c r="T129" s="3">
        <v>29</v>
      </c>
      <c r="U129" s="3" t="s">
        <v>43</v>
      </c>
      <c r="V129" s="3" t="s">
        <v>202</v>
      </c>
      <c r="W129" s="9"/>
      <c r="X129" s="9" t="s">
        <v>45</v>
      </c>
      <c r="Y129" s="9"/>
    </row>
    <row r="130" spans="1:25" ht="86" customHeight="1">
      <c r="A130" s="3" t="s">
        <v>698</v>
      </c>
      <c r="B130" s="3" t="s">
        <v>699</v>
      </c>
      <c r="C130" s="3" t="s">
        <v>700</v>
      </c>
      <c r="D130" s="3" t="s">
        <v>699</v>
      </c>
      <c r="E130" s="3" t="s">
        <v>30</v>
      </c>
      <c r="F130" s="3" t="s">
        <v>619</v>
      </c>
      <c r="G130" s="3" t="s">
        <v>620</v>
      </c>
      <c r="H130" s="3" t="s">
        <v>76</v>
      </c>
      <c r="I130" s="3" t="s">
        <v>34</v>
      </c>
      <c r="J130" s="3" t="s">
        <v>621</v>
      </c>
      <c r="K130" s="3" t="s">
        <v>701</v>
      </c>
      <c r="L130" s="3" t="s">
        <v>49</v>
      </c>
      <c r="M130" s="3" t="s">
        <v>36</v>
      </c>
      <c r="N130" s="3" t="s">
        <v>100</v>
      </c>
      <c r="O130" s="3" t="s">
        <v>51</v>
      </c>
      <c r="P130" s="3" t="s">
        <v>40</v>
      </c>
      <c r="Q130" s="6">
        <v>0.84</v>
      </c>
      <c r="R130" s="3" t="s">
        <v>41</v>
      </c>
      <c r="S130" s="3" t="s">
        <v>702</v>
      </c>
      <c r="T130" s="3">
        <v>149</v>
      </c>
      <c r="U130" s="3" t="s">
        <v>43</v>
      </c>
      <c r="V130" s="3" t="s">
        <v>44</v>
      </c>
      <c r="W130" s="9"/>
      <c r="X130" s="9" t="s">
        <v>45</v>
      </c>
      <c r="Y130" s="9"/>
    </row>
    <row r="131" spans="1:25" ht="86" customHeight="1">
      <c r="A131" s="3" t="s">
        <v>703</v>
      </c>
      <c r="B131" s="3" t="s">
        <v>704</v>
      </c>
      <c r="C131" s="3" t="s">
        <v>705</v>
      </c>
      <c r="D131" s="3" t="s">
        <v>704</v>
      </c>
      <c r="E131" s="3" t="s">
        <v>30</v>
      </c>
      <c r="F131" s="3" t="s">
        <v>619</v>
      </c>
      <c r="G131" s="3" t="s">
        <v>620</v>
      </c>
      <c r="H131" s="3" t="s">
        <v>76</v>
      </c>
      <c r="I131" s="3" t="s">
        <v>34</v>
      </c>
      <c r="J131" s="3" t="s">
        <v>621</v>
      </c>
      <c r="K131" s="3" t="s">
        <v>706</v>
      </c>
      <c r="L131" s="3" t="s">
        <v>49</v>
      </c>
      <c r="M131" s="3"/>
      <c r="N131" s="3" t="s">
        <v>38</v>
      </c>
      <c r="O131" s="3" t="s">
        <v>39</v>
      </c>
      <c r="P131" s="3" t="s">
        <v>40</v>
      </c>
      <c r="Q131" s="6">
        <v>0.84</v>
      </c>
      <c r="R131" s="3" t="s">
        <v>41</v>
      </c>
      <c r="S131" s="3" t="s">
        <v>707</v>
      </c>
      <c r="T131" s="3">
        <v>76</v>
      </c>
      <c r="U131" s="3" t="s">
        <v>43</v>
      </c>
      <c r="V131" s="3" t="s">
        <v>44</v>
      </c>
      <c r="W131" s="9"/>
      <c r="X131" s="9" t="s">
        <v>45</v>
      </c>
      <c r="Y131" s="9"/>
    </row>
    <row r="132" spans="1:25" ht="86" customHeight="1">
      <c r="A132" s="3" t="s">
        <v>708</v>
      </c>
      <c r="B132" s="3" t="s">
        <v>709</v>
      </c>
      <c r="C132" s="3" t="s">
        <v>710</v>
      </c>
      <c r="D132" s="3" t="s">
        <v>709</v>
      </c>
      <c r="E132" s="3" t="s">
        <v>30</v>
      </c>
      <c r="F132" s="3" t="s">
        <v>619</v>
      </c>
      <c r="G132" s="3" t="s">
        <v>620</v>
      </c>
      <c r="H132" s="3" t="s">
        <v>76</v>
      </c>
      <c r="I132" s="3" t="s">
        <v>34</v>
      </c>
      <c r="J132" s="3" t="s">
        <v>621</v>
      </c>
      <c r="K132" s="3" t="s">
        <v>711</v>
      </c>
      <c r="L132" s="3" t="s">
        <v>49</v>
      </c>
      <c r="M132" s="3"/>
      <c r="N132" s="3" t="s">
        <v>38</v>
      </c>
      <c r="O132" s="3" t="s">
        <v>39</v>
      </c>
      <c r="P132" s="3" t="s">
        <v>40</v>
      </c>
      <c r="Q132" s="6">
        <v>0.84</v>
      </c>
      <c r="R132" s="3" t="s">
        <v>41</v>
      </c>
      <c r="S132" s="3" t="s">
        <v>712</v>
      </c>
      <c r="T132" s="3">
        <v>323</v>
      </c>
      <c r="U132" s="3" t="s">
        <v>43</v>
      </c>
      <c r="V132" s="3" t="s">
        <v>44</v>
      </c>
      <c r="W132" s="9"/>
      <c r="X132" s="9" t="s">
        <v>45</v>
      </c>
      <c r="Y132" s="9"/>
    </row>
    <row r="133" spans="1:25" ht="86" customHeight="1">
      <c r="A133" s="3" t="s">
        <v>713</v>
      </c>
      <c r="B133" s="3" t="s">
        <v>714</v>
      </c>
      <c r="C133" s="3" t="s">
        <v>715</v>
      </c>
      <c r="D133" s="3" t="s">
        <v>714</v>
      </c>
      <c r="E133" s="3" t="s">
        <v>30</v>
      </c>
      <c r="F133" s="3" t="s">
        <v>619</v>
      </c>
      <c r="G133" s="3" t="s">
        <v>620</v>
      </c>
      <c r="H133" s="3" t="s">
        <v>76</v>
      </c>
      <c r="I133" s="3" t="s">
        <v>34</v>
      </c>
      <c r="J133" s="3" t="s">
        <v>621</v>
      </c>
      <c r="K133" s="3" t="s">
        <v>716</v>
      </c>
      <c r="L133" s="3" t="s">
        <v>50</v>
      </c>
      <c r="M133" s="3"/>
      <c r="N133" s="3" t="s">
        <v>100</v>
      </c>
      <c r="O133" s="3" t="s">
        <v>51</v>
      </c>
      <c r="P133" s="3" t="s">
        <v>199</v>
      </c>
      <c r="Q133" s="6">
        <v>0.92</v>
      </c>
      <c r="R133" s="3" t="s">
        <v>200</v>
      </c>
      <c r="S133" s="3" t="s">
        <v>717</v>
      </c>
      <c r="T133" s="3">
        <v>25</v>
      </c>
      <c r="U133" s="3" t="s">
        <v>43</v>
      </c>
      <c r="V133" s="3" t="s">
        <v>202</v>
      </c>
      <c r="W133" s="9"/>
      <c r="X133" s="9" t="s">
        <v>45</v>
      </c>
      <c r="Y133" s="9"/>
    </row>
    <row r="134" spans="1:25" ht="86" customHeight="1">
      <c r="A134" s="3" t="s">
        <v>718</v>
      </c>
      <c r="B134" s="3" t="s">
        <v>719</v>
      </c>
      <c r="C134" s="3" t="s">
        <v>720</v>
      </c>
      <c r="D134" s="3" t="s">
        <v>719</v>
      </c>
      <c r="E134" s="3" t="s">
        <v>30</v>
      </c>
      <c r="F134" s="3" t="s">
        <v>619</v>
      </c>
      <c r="G134" s="3" t="s">
        <v>620</v>
      </c>
      <c r="H134" s="3" t="s">
        <v>76</v>
      </c>
      <c r="I134" s="3" t="s">
        <v>34</v>
      </c>
      <c r="J134" s="3" t="s">
        <v>621</v>
      </c>
      <c r="K134" s="3" t="s">
        <v>721</v>
      </c>
      <c r="L134" s="3" t="s">
        <v>36</v>
      </c>
      <c r="M134" s="3"/>
      <c r="N134" s="3" t="s">
        <v>213</v>
      </c>
      <c r="O134" s="3" t="s">
        <v>39</v>
      </c>
      <c r="P134" s="3" t="s">
        <v>199</v>
      </c>
      <c r="Q134" s="6">
        <v>0.92</v>
      </c>
      <c r="R134" s="3" t="s">
        <v>200</v>
      </c>
      <c r="S134" s="3" t="s">
        <v>722</v>
      </c>
      <c r="T134" s="3">
        <v>44</v>
      </c>
      <c r="U134" s="3" t="s">
        <v>43</v>
      </c>
      <c r="V134" s="3" t="s">
        <v>202</v>
      </c>
      <c r="W134" s="9"/>
      <c r="X134" s="9" t="s">
        <v>45</v>
      </c>
      <c r="Y134" s="9"/>
    </row>
    <row r="135" spans="1:25" ht="86" customHeight="1">
      <c r="A135" s="3" t="s">
        <v>723</v>
      </c>
      <c r="B135" s="3" t="s">
        <v>724</v>
      </c>
      <c r="C135" s="3" t="s">
        <v>725</v>
      </c>
      <c r="D135" s="3" t="s">
        <v>724</v>
      </c>
      <c r="E135" s="3" t="s">
        <v>30</v>
      </c>
      <c r="F135" s="3" t="s">
        <v>619</v>
      </c>
      <c r="G135" s="3" t="s">
        <v>620</v>
      </c>
      <c r="H135" s="3" t="s">
        <v>76</v>
      </c>
      <c r="I135" s="3" t="s">
        <v>34</v>
      </c>
      <c r="J135" s="3" t="s">
        <v>621</v>
      </c>
      <c r="K135" s="3" t="s">
        <v>726</v>
      </c>
      <c r="L135" s="3" t="s">
        <v>50</v>
      </c>
      <c r="M135" s="3"/>
      <c r="N135" s="3" t="s">
        <v>100</v>
      </c>
      <c r="O135" s="3" t="s">
        <v>39</v>
      </c>
      <c r="P135" s="3" t="s">
        <v>199</v>
      </c>
      <c r="Q135" s="6">
        <v>0.84</v>
      </c>
      <c r="R135" s="3" t="s">
        <v>200</v>
      </c>
      <c r="S135" s="3" t="s">
        <v>727</v>
      </c>
      <c r="T135" s="3">
        <v>12</v>
      </c>
      <c r="U135" s="3" t="s">
        <v>43</v>
      </c>
      <c r="V135" s="3" t="s">
        <v>202</v>
      </c>
      <c r="W135" s="9"/>
      <c r="X135" s="9" t="s">
        <v>45</v>
      </c>
      <c r="Y135" s="9"/>
    </row>
    <row r="136" spans="1:25" ht="86" customHeight="1">
      <c r="A136" s="3" t="s">
        <v>728</v>
      </c>
      <c r="B136" s="3" t="s">
        <v>729</v>
      </c>
      <c r="C136" s="3" t="s">
        <v>730</v>
      </c>
      <c r="D136" s="3" t="s">
        <v>729</v>
      </c>
      <c r="E136" s="3" t="s">
        <v>30</v>
      </c>
      <c r="F136" s="3" t="s">
        <v>619</v>
      </c>
      <c r="G136" s="3" t="s">
        <v>620</v>
      </c>
      <c r="H136" s="3" t="s">
        <v>76</v>
      </c>
      <c r="I136" s="3" t="s">
        <v>34</v>
      </c>
      <c r="J136" s="3" t="s">
        <v>621</v>
      </c>
      <c r="K136" s="3" t="s">
        <v>731</v>
      </c>
      <c r="L136" s="3" t="s">
        <v>71</v>
      </c>
      <c r="M136" s="3"/>
      <c r="N136" s="3" t="s">
        <v>100</v>
      </c>
      <c r="O136" s="3" t="s">
        <v>51</v>
      </c>
      <c r="P136" s="3" t="s">
        <v>199</v>
      </c>
      <c r="Q136" s="6">
        <v>0.92</v>
      </c>
      <c r="R136" s="3" t="s">
        <v>200</v>
      </c>
      <c r="S136" s="3" t="s">
        <v>732</v>
      </c>
      <c r="T136" s="3">
        <v>34</v>
      </c>
      <c r="U136" s="3" t="s">
        <v>43</v>
      </c>
      <c r="V136" s="3" t="s">
        <v>202</v>
      </c>
      <c r="W136" s="9"/>
      <c r="X136" s="9" t="s">
        <v>45</v>
      </c>
      <c r="Y136" s="9"/>
    </row>
    <row r="137" spans="1:25" ht="86" customHeight="1">
      <c r="A137" s="3" t="s">
        <v>733</v>
      </c>
      <c r="B137" s="3" t="s">
        <v>734</v>
      </c>
      <c r="C137" s="3" t="s">
        <v>735</v>
      </c>
      <c r="D137" s="3" t="s">
        <v>734</v>
      </c>
      <c r="E137" s="3" t="s">
        <v>30</v>
      </c>
      <c r="F137" s="3" t="s">
        <v>619</v>
      </c>
      <c r="G137" s="3" t="s">
        <v>620</v>
      </c>
      <c r="H137" s="3" t="s">
        <v>76</v>
      </c>
      <c r="I137" s="3" t="s">
        <v>34</v>
      </c>
      <c r="J137" s="3" t="s">
        <v>621</v>
      </c>
      <c r="K137" s="3" t="s">
        <v>736</v>
      </c>
      <c r="L137" s="3" t="s">
        <v>49</v>
      </c>
      <c r="M137" s="3" t="s">
        <v>36</v>
      </c>
      <c r="N137" s="3" t="s">
        <v>213</v>
      </c>
      <c r="O137" s="3" t="s">
        <v>39</v>
      </c>
      <c r="P137" s="3" t="s">
        <v>199</v>
      </c>
      <c r="Q137" s="6">
        <v>0.92</v>
      </c>
      <c r="R137" s="3" t="s">
        <v>200</v>
      </c>
      <c r="S137" s="3" t="s">
        <v>737</v>
      </c>
      <c r="T137" s="3">
        <v>28</v>
      </c>
      <c r="U137" s="3" t="s">
        <v>43</v>
      </c>
      <c r="V137" s="3" t="s">
        <v>202</v>
      </c>
      <c r="W137" s="9"/>
      <c r="X137" s="9" t="s">
        <v>45</v>
      </c>
      <c r="Y137" s="9"/>
    </row>
    <row r="138" spans="1:25" ht="86" customHeight="1">
      <c r="A138" s="3" t="s">
        <v>738</v>
      </c>
      <c r="B138" s="3" t="s">
        <v>739</v>
      </c>
      <c r="C138" s="3" t="s">
        <v>740</v>
      </c>
      <c r="D138" s="3" t="s">
        <v>739</v>
      </c>
      <c r="E138" s="3" t="s">
        <v>30</v>
      </c>
      <c r="F138" s="3" t="s">
        <v>619</v>
      </c>
      <c r="G138" s="3" t="s">
        <v>620</v>
      </c>
      <c r="H138" s="3" t="s">
        <v>33</v>
      </c>
      <c r="I138" s="3" t="s">
        <v>34</v>
      </c>
      <c r="J138" s="3" t="s">
        <v>34</v>
      </c>
      <c r="K138" s="3" t="s">
        <v>741</v>
      </c>
      <c r="L138" s="3" t="s">
        <v>36</v>
      </c>
      <c r="M138" s="3" t="s">
        <v>49</v>
      </c>
      <c r="N138" s="3" t="s">
        <v>38</v>
      </c>
      <c r="O138" s="3" t="s">
        <v>51</v>
      </c>
      <c r="P138" s="3" t="s">
        <v>40</v>
      </c>
      <c r="Q138" s="6">
        <v>0.78</v>
      </c>
      <c r="R138" s="3" t="s">
        <v>41</v>
      </c>
      <c r="S138" s="3" t="s">
        <v>742</v>
      </c>
      <c r="T138" s="3">
        <v>76</v>
      </c>
      <c r="U138" s="3" t="s">
        <v>43</v>
      </c>
      <c r="V138" s="3" t="s">
        <v>44</v>
      </c>
      <c r="W138" s="9"/>
      <c r="X138" s="9" t="s">
        <v>45</v>
      </c>
      <c r="Y138" s="9"/>
    </row>
    <row r="139" spans="1:25" ht="86" customHeight="1">
      <c r="A139" s="3" t="s">
        <v>743</v>
      </c>
      <c r="B139" s="3" t="s">
        <v>744</v>
      </c>
      <c r="C139" s="3" t="s">
        <v>745</v>
      </c>
      <c r="D139" s="3" t="s">
        <v>744</v>
      </c>
      <c r="E139" s="3" t="s">
        <v>30</v>
      </c>
      <c r="F139" s="3" t="s">
        <v>619</v>
      </c>
      <c r="G139" s="3" t="s">
        <v>620</v>
      </c>
      <c r="H139" s="3" t="s">
        <v>33</v>
      </c>
      <c r="I139" s="3" t="s">
        <v>34</v>
      </c>
      <c r="J139" s="3" t="s">
        <v>34</v>
      </c>
      <c r="K139" s="3" t="s">
        <v>741</v>
      </c>
      <c r="L139" s="3" t="s">
        <v>62</v>
      </c>
      <c r="M139" s="3" t="s">
        <v>746</v>
      </c>
      <c r="N139" s="3" t="s">
        <v>38</v>
      </c>
      <c r="O139" s="3" t="s">
        <v>51</v>
      </c>
      <c r="P139" s="3" t="s">
        <v>40</v>
      </c>
      <c r="Q139" s="6">
        <v>0.78</v>
      </c>
      <c r="R139" s="3" t="s">
        <v>41</v>
      </c>
      <c r="S139" s="3" t="s">
        <v>747</v>
      </c>
      <c r="T139" s="3">
        <v>52</v>
      </c>
      <c r="U139" s="3" t="s">
        <v>43</v>
      </c>
      <c r="V139" s="3" t="s">
        <v>44</v>
      </c>
      <c r="W139" s="9"/>
      <c r="X139" s="9" t="s">
        <v>45</v>
      </c>
      <c r="Y139" s="9"/>
    </row>
    <row r="140" spans="1:25" ht="86" customHeight="1">
      <c r="A140" s="3" t="s">
        <v>748</v>
      </c>
      <c r="B140" s="3" t="s">
        <v>749</v>
      </c>
      <c r="C140" s="3" t="s">
        <v>750</v>
      </c>
      <c r="D140" s="3" t="s">
        <v>749</v>
      </c>
      <c r="E140" s="3" t="s">
        <v>30</v>
      </c>
      <c r="F140" s="3" t="s">
        <v>619</v>
      </c>
      <c r="G140" s="3" t="s">
        <v>620</v>
      </c>
      <c r="H140" s="3" t="s">
        <v>33</v>
      </c>
      <c r="I140" s="3" t="s">
        <v>34</v>
      </c>
      <c r="J140" s="3" t="s">
        <v>34</v>
      </c>
      <c r="K140" s="3" t="s">
        <v>741</v>
      </c>
      <c r="L140" s="3" t="s">
        <v>62</v>
      </c>
      <c r="M140" s="3" t="s">
        <v>751</v>
      </c>
      <c r="N140" s="3" t="s">
        <v>38</v>
      </c>
      <c r="O140" s="3" t="s">
        <v>51</v>
      </c>
      <c r="P140" s="3" t="s">
        <v>40</v>
      </c>
      <c r="Q140" s="6">
        <v>0.78</v>
      </c>
      <c r="R140" s="3" t="s">
        <v>41</v>
      </c>
      <c r="S140" s="3" t="s">
        <v>752</v>
      </c>
      <c r="T140" s="3">
        <v>87</v>
      </c>
      <c r="U140" s="3" t="s">
        <v>43</v>
      </c>
      <c r="V140" s="3" t="s">
        <v>44</v>
      </c>
      <c r="W140" s="9"/>
      <c r="X140" s="9" t="s">
        <v>45</v>
      </c>
      <c r="Y140" s="9"/>
    </row>
    <row r="141" spans="1:25" ht="86" customHeight="1">
      <c r="A141" s="3" t="s">
        <v>753</v>
      </c>
      <c r="B141" s="3" t="s">
        <v>754</v>
      </c>
      <c r="C141" s="3" t="s">
        <v>755</v>
      </c>
      <c r="D141" s="3" t="s">
        <v>754</v>
      </c>
      <c r="E141" s="3" t="s">
        <v>30</v>
      </c>
      <c r="F141" s="3" t="s">
        <v>619</v>
      </c>
      <c r="G141" s="3" t="s">
        <v>620</v>
      </c>
      <c r="H141" s="3" t="s">
        <v>33</v>
      </c>
      <c r="I141" s="3" t="s">
        <v>34</v>
      </c>
      <c r="J141" s="3" t="s">
        <v>34</v>
      </c>
      <c r="K141" s="3" t="s">
        <v>741</v>
      </c>
      <c r="L141" s="3" t="s">
        <v>50</v>
      </c>
      <c r="M141" s="3" t="s">
        <v>62</v>
      </c>
      <c r="N141" s="3" t="s">
        <v>38</v>
      </c>
      <c r="O141" s="3" t="s">
        <v>51</v>
      </c>
      <c r="P141" s="3" t="s">
        <v>40</v>
      </c>
      <c r="Q141" s="6">
        <v>0.78</v>
      </c>
      <c r="R141" s="3" t="s">
        <v>41</v>
      </c>
      <c r="S141" s="3" t="s">
        <v>756</v>
      </c>
      <c r="T141" s="3">
        <v>51</v>
      </c>
      <c r="U141" s="3" t="s">
        <v>43</v>
      </c>
      <c r="V141" s="3" t="s">
        <v>44</v>
      </c>
      <c r="W141" s="9"/>
      <c r="X141" s="9" t="s">
        <v>45</v>
      </c>
      <c r="Y141" s="9"/>
    </row>
    <row r="142" spans="1:25" ht="86" customHeight="1">
      <c r="A142" s="3" t="s">
        <v>757</v>
      </c>
      <c r="B142" s="3" t="s">
        <v>758</v>
      </c>
      <c r="C142" s="3" t="s">
        <v>759</v>
      </c>
      <c r="D142" s="3" t="s">
        <v>758</v>
      </c>
      <c r="E142" s="3" t="s">
        <v>30</v>
      </c>
      <c r="F142" s="3" t="s">
        <v>619</v>
      </c>
      <c r="G142" s="3" t="s">
        <v>620</v>
      </c>
      <c r="H142" s="3" t="s">
        <v>33</v>
      </c>
      <c r="I142" s="3" t="s">
        <v>34</v>
      </c>
      <c r="J142" s="3" t="s">
        <v>34</v>
      </c>
      <c r="K142" s="3" t="s">
        <v>741</v>
      </c>
      <c r="L142" s="3" t="s">
        <v>319</v>
      </c>
      <c r="M142" s="3"/>
      <c r="N142" s="3" t="s">
        <v>38</v>
      </c>
      <c r="O142" s="3" t="s">
        <v>51</v>
      </c>
      <c r="P142" s="3" t="s">
        <v>40</v>
      </c>
      <c r="Q142" s="6">
        <v>0.78</v>
      </c>
      <c r="R142" s="3" t="s">
        <v>41</v>
      </c>
      <c r="S142" s="3" t="s">
        <v>760</v>
      </c>
      <c r="T142" s="3">
        <v>35</v>
      </c>
      <c r="U142" s="3" t="s">
        <v>43</v>
      </c>
      <c r="V142" s="3" t="s">
        <v>44</v>
      </c>
      <c r="W142" s="9"/>
      <c r="X142" s="9" t="s">
        <v>45</v>
      </c>
      <c r="Y142" s="9"/>
    </row>
    <row r="143" spans="1:25" ht="86" customHeight="1">
      <c r="A143" s="3" t="s">
        <v>761</v>
      </c>
      <c r="B143" s="3" t="s">
        <v>762</v>
      </c>
      <c r="C143" s="3" t="s">
        <v>763</v>
      </c>
      <c r="D143" s="3" t="s">
        <v>762</v>
      </c>
      <c r="E143" s="3" t="s">
        <v>30</v>
      </c>
      <c r="F143" s="3" t="s">
        <v>619</v>
      </c>
      <c r="G143" s="3" t="s">
        <v>620</v>
      </c>
      <c r="H143" s="3" t="s">
        <v>33</v>
      </c>
      <c r="I143" s="3" t="s">
        <v>34</v>
      </c>
      <c r="J143" s="3" t="s">
        <v>34</v>
      </c>
      <c r="K143" s="3" t="s">
        <v>741</v>
      </c>
      <c r="L143" s="3" t="s">
        <v>50</v>
      </c>
      <c r="M143" s="3" t="s">
        <v>36</v>
      </c>
      <c r="N143" s="3" t="s">
        <v>100</v>
      </c>
      <c r="O143" s="3" t="s">
        <v>51</v>
      </c>
      <c r="P143" s="3" t="s">
        <v>40</v>
      </c>
      <c r="Q143" s="6">
        <v>0.78</v>
      </c>
      <c r="R143" s="3" t="s">
        <v>41</v>
      </c>
      <c r="S143" s="3" t="s">
        <v>764</v>
      </c>
      <c r="T143" s="3">
        <v>29</v>
      </c>
      <c r="U143" s="3" t="s">
        <v>43</v>
      </c>
      <c r="V143" s="3" t="s">
        <v>44</v>
      </c>
      <c r="W143" s="9"/>
      <c r="X143" s="9" t="s">
        <v>45</v>
      </c>
      <c r="Y143" s="9"/>
    </row>
    <row r="144" spans="1:25" ht="86" customHeight="1">
      <c r="A144" s="3" t="s">
        <v>765</v>
      </c>
      <c r="B144" s="3" t="s">
        <v>766</v>
      </c>
      <c r="C144" s="3" t="s">
        <v>767</v>
      </c>
      <c r="D144" s="3" t="s">
        <v>766</v>
      </c>
      <c r="E144" s="3" t="s">
        <v>30</v>
      </c>
      <c r="F144" s="3" t="s">
        <v>619</v>
      </c>
      <c r="G144" s="3" t="s">
        <v>620</v>
      </c>
      <c r="H144" s="3" t="s">
        <v>33</v>
      </c>
      <c r="I144" s="3" t="s">
        <v>34</v>
      </c>
      <c r="J144" s="3" t="s">
        <v>34</v>
      </c>
      <c r="K144" s="3" t="s">
        <v>741</v>
      </c>
      <c r="L144" s="3" t="s">
        <v>50</v>
      </c>
      <c r="M144" s="3" t="s">
        <v>62</v>
      </c>
      <c r="N144" s="3" t="s">
        <v>38</v>
      </c>
      <c r="O144" s="3" t="s">
        <v>51</v>
      </c>
      <c r="P144" s="3" t="s">
        <v>40</v>
      </c>
      <c r="Q144" s="6">
        <v>0.78</v>
      </c>
      <c r="R144" s="3" t="s">
        <v>41</v>
      </c>
      <c r="S144" s="3" t="s">
        <v>768</v>
      </c>
      <c r="T144" s="3">
        <v>72</v>
      </c>
      <c r="U144" s="3" t="s">
        <v>43</v>
      </c>
      <c r="V144" s="3" t="s">
        <v>44</v>
      </c>
      <c r="W144" s="9"/>
      <c r="X144" s="9" t="s">
        <v>45</v>
      </c>
      <c r="Y144" s="9"/>
    </row>
    <row r="145" spans="1:25" ht="86" customHeight="1">
      <c r="A145" s="3" t="s">
        <v>769</v>
      </c>
      <c r="B145" s="3" t="s">
        <v>770</v>
      </c>
      <c r="C145" s="3" t="s">
        <v>771</v>
      </c>
      <c r="D145" s="3" t="s">
        <v>770</v>
      </c>
      <c r="E145" s="3" t="s">
        <v>30</v>
      </c>
      <c r="F145" s="3" t="s">
        <v>619</v>
      </c>
      <c r="G145" s="3" t="s">
        <v>620</v>
      </c>
      <c r="H145" s="3" t="s">
        <v>33</v>
      </c>
      <c r="I145" s="3" t="s">
        <v>34</v>
      </c>
      <c r="J145" s="3" t="s">
        <v>34</v>
      </c>
      <c r="K145" s="3" t="s">
        <v>741</v>
      </c>
      <c r="L145" s="3" t="s">
        <v>49</v>
      </c>
      <c r="M145" s="3"/>
      <c r="N145" s="3" t="s">
        <v>38</v>
      </c>
      <c r="O145" s="3" t="s">
        <v>51</v>
      </c>
      <c r="P145" s="3" t="s">
        <v>40</v>
      </c>
      <c r="Q145" s="6">
        <v>0.78</v>
      </c>
      <c r="R145" s="3" t="s">
        <v>41</v>
      </c>
      <c r="S145" s="3" t="s">
        <v>772</v>
      </c>
      <c r="T145" s="3">
        <v>82</v>
      </c>
      <c r="U145" s="3" t="s">
        <v>43</v>
      </c>
      <c r="V145" s="3" t="s">
        <v>44</v>
      </c>
      <c r="W145" s="9"/>
      <c r="X145" s="9" t="s">
        <v>45</v>
      </c>
      <c r="Y145" s="9"/>
    </row>
    <row r="146" spans="1:25" ht="86" customHeight="1">
      <c r="A146" s="3" t="s">
        <v>773</v>
      </c>
      <c r="B146" s="3" t="s">
        <v>774</v>
      </c>
      <c r="C146" s="3" t="s">
        <v>775</v>
      </c>
      <c r="D146" s="3" t="s">
        <v>774</v>
      </c>
      <c r="E146" s="3" t="s">
        <v>30</v>
      </c>
      <c r="F146" s="3" t="s">
        <v>619</v>
      </c>
      <c r="G146" s="3" t="s">
        <v>620</v>
      </c>
      <c r="H146" s="3" t="s">
        <v>33</v>
      </c>
      <c r="I146" s="3" t="s">
        <v>34</v>
      </c>
      <c r="J146" s="3" t="s">
        <v>34</v>
      </c>
      <c r="K146" s="3" t="s">
        <v>741</v>
      </c>
      <c r="L146" s="3" t="s">
        <v>49</v>
      </c>
      <c r="M146" s="3" t="s">
        <v>36</v>
      </c>
      <c r="N146" s="3" t="s">
        <v>38</v>
      </c>
      <c r="O146" s="3" t="s">
        <v>39</v>
      </c>
      <c r="P146" s="3" t="s">
        <v>40</v>
      </c>
      <c r="Q146" s="6">
        <v>0.78</v>
      </c>
      <c r="R146" s="3" t="s">
        <v>41</v>
      </c>
      <c r="S146" s="3" t="s">
        <v>776</v>
      </c>
      <c r="T146" s="3">
        <v>429</v>
      </c>
      <c r="U146" s="3" t="s">
        <v>43</v>
      </c>
      <c r="V146" s="3" t="s">
        <v>44</v>
      </c>
      <c r="W146" s="9"/>
      <c r="X146" s="9" t="s">
        <v>45</v>
      </c>
      <c r="Y146" s="9"/>
    </row>
    <row r="147" spans="1:25" ht="86" customHeight="1">
      <c r="A147" s="3" t="s">
        <v>777</v>
      </c>
      <c r="B147" s="3" t="s">
        <v>778</v>
      </c>
      <c r="C147" s="3" t="s">
        <v>779</v>
      </c>
      <c r="D147" s="3" t="s">
        <v>778</v>
      </c>
      <c r="E147" s="3" t="s">
        <v>30</v>
      </c>
      <c r="F147" s="3" t="s">
        <v>619</v>
      </c>
      <c r="G147" s="3" t="s">
        <v>620</v>
      </c>
      <c r="H147" s="3" t="s">
        <v>33</v>
      </c>
      <c r="I147" s="3" t="s">
        <v>34</v>
      </c>
      <c r="J147" s="3" t="s">
        <v>34</v>
      </c>
      <c r="K147" s="3" t="s">
        <v>741</v>
      </c>
      <c r="L147" s="3" t="s">
        <v>49</v>
      </c>
      <c r="M147" s="3"/>
      <c r="N147" s="3" t="s">
        <v>38</v>
      </c>
      <c r="O147" s="3" t="s">
        <v>39</v>
      </c>
      <c r="P147" s="3" t="s">
        <v>40</v>
      </c>
      <c r="Q147" s="6">
        <v>0.78</v>
      </c>
      <c r="R147" s="3" t="s">
        <v>41</v>
      </c>
      <c r="S147" s="3" t="s">
        <v>780</v>
      </c>
      <c r="T147" s="3">
        <v>305</v>
      </c>
      <c r="U147" s="3" t="s">
        <v>43</v>
      </c>
      <c r="V147" s="3" t="s">
        <v>44</v>
      </c>
      <c r="W147" s="9"/>
      <c r="X147" s="9" t="s">
        <v>45</v>
      </c>
      <c r="Y147" s="9"/>
    </row>
    <row r="148" spans="1:25" ht="86" customHeight="1">
      <c r="A148" s="3" t="s">
        <v>781</v>
      </c>
      <c r="B148" s="3" t="s">
        <v>782</v>
      </c>
      <c r="C148" s="3" t="s">
        <v>783</v>
      </c>
      <c r="D148" s="3" t="s">
        <v>782</v>
      </c>
      <c r="E148" s="3" t="s">
        <v>30</v>
      </c>
      <c r="F148" s="3" t="s">
        <v>619</v>
      </c>
      <c r="G148" s="3" t="s">
        <v>620</v>
      </c>
      <c r="H148" s="3" t="s">
        <v>33</v>
      </c>
      <c r="I148" s="3" t="s">
        <v>34</v>
      </c>
      <c r="J148" s="3" t="s">
        <v>34</v>
      </c>
      <c r="K148" s="3" t="s">
        <v>741</v>
      </c>
      <c r="L148" s="3" t="s">
        <v>36</v>
      </c>
      <c r="M148" s="3" t="s">
        <v>49</v>
      </c>
      <c r="N148" s="3" t="s">
        <v>38</v>
      </c>
      <c r="O148" s="3" t="s">
        <v>39</v>
      </c>
      <c r="P148" s="3" t="s">
        <v>40</v>
      </c>
      <c r="Q148" s="6">
        <v>0.78</v>
      </c>
      <c r="R148" s="3" t="s">
        <v>41</v>
      </c>
      <c r="S148" s="3" t="s">
        <v>784</v>
      </c>
      <c r="T148" s="3">
        <v>436</v>
      </c>
      <c r="U148" s="3" t="s">
        <v>43</v>
      </c>
      <c r="V148" s="3" t="s">
        <v>44</v>
      </c>
      <c r="W148" s="9"/>
      <c r="X148" s="9" t="s">
        <v>45</v>
      </c>
      <c r="Y148" s="9"/>
    </row>
    <row r="149" spans="1:25" ht="86" customHeight="1">
      <c r="A149" s="3" t="s">
        <v>785</v>
      </c>
      <c r="B149" s="3" t="s">
        <v>786</v>
      </c>
      <c r="C149" s="3" t="s">
        <v>787</v>
      </c>
      <c r="D149" s="3" t="s">
        <v>786</v>
      </c>
      <c r="E149" s="3" t="s">
        <v>30</v>
      </c>
      <c r="F149" s="3" t="s">
        <v>788</v>
      </c>
      <c r="G149" s="3" t="s">
        <v>789</v>
      </c>
      <c r="H149" s="3" t="s">
        <v>76</v>
      </c>
      <c r="I149" s="3" t="s">
        <v>34</v>
      </c>
      <c r="J149" s="3" t="s">
        <v>790</v>
      </c>
      <c r="K149" s="3" t="s">
        <v>791</v>
      </c>
      <c r="L149" s="3" t="s">
        <v>62</v>
      </c>
      <c r="M149" s="3"/>
      <c r="N149" s="3" t="s">
        <v>100</v>
      </c>
      <c r="O149" s="3" t="s">
        <v>51</v>
      </c>
      <c r="P149" s="3" t="s">
        <v>199</v>
      </c>
      <c r="Q149" s="6">
        <v>0.92</v>
      </c>
      <c r="R149" s="3" t="s">
        <v>200</v>
      </c>
      <c r="S149" s="3" t="s">
        <v>792</v>
      </c>
      <c r="T149" s="3">
        <v>49</v>
      </c>
      <c r="U149" s="3" t="s">
        <v>43</v>
      </c>
      <c r="V149" s="3" t="s">
        <v>202</v>
      </c>
      <c r="W149" s="9"/>
      <c r="X149" s="9" t="s">
        <v>45</v>
      </c>
      <c r="Y149" s="9"/>
    </row>
    <row r="150" spans="1:25" ht="86" customHeight="1">
      <c r="A150" s="3" t="s">
        <v>793</v>
      </c>
      <c r="B150" s="3" t="s">
        <v>794</v>
      </c>
      <c r="C150" s="3" t="s">
        <v>795</v>
      </c>
      <c r="D150" s="3" t="s">
        <v>794</v>
      </c>
      <c r="E150" s="3" t="s">
        <v>30</v>
      </c>
      <c r="F150" s="3" t="s">
        <v>788</v>
      </c>
      <c r="G150" s="3" t="s">
        <v>789</v>
      </c>
      <c r="H150" s="3" t="s">
        <v>76</v>
      </c>
      <c r="I150" s="3" t="s">
        <v>34</v>
      </c>
      <c r="J150" s="3" t="s">
        <v>790</v>
      </c>
      <c r="K150" s="3" t="s">
        <v>791</v>
      </c>
      <c r="L150" s="3" t="s">
        <v>62</v>
      </c>
      <c r="M150" s="3"/>
      <c r="N150" s="3" t="s">
        <v>213</v>
      </c>
      <c r="O150" s="3" t="s">
        <v>39</v>
      </c>
      <c r="P150" s="3" t="s">
        <v>199</v>
      </c>
      <c r="Q150" s="6">
        <v>0.92</v>
      </c>
      <c r="R150" s="3" t="s">
        <v>200</v>
      </c>
      <c r="S150" s="3" t="s">
        <v>796</v>
      </c>
      <c r="T150" s="3">
        <v>51</v>
      </c>
      <c r="U150" s="3" t="s">
        <v>43</v>
      </c>
      <c r="V150" s="3" t="s">
        <v>202</v>
      </c>
      <c r="W150" s="9"/>
      <c r="X150" s="9" t="s">
        <v>45</v>
      </c>
      <c r="Y150" s="9"/>
    </row>
    <row r="151" spans="1:25" ht="86" customHeight="1">
      <c r="A151" s="3" t="s">
        <v>797</v>
      </c>
      <c r="B151" s="3" t="s">
        <v>798</v>
      </c>
      <c r="C151" s="3" t="s">
        <v>799</v>
      </c>
      <c r="D151" s="3" t="s">
        <v>798</v>
      </c>
      <c r="E151" s="3" t="s">
        <v>30</v>
      </c>
      <c r="F151" s="3" t="s">
        <v>788</v>
      </c>
      <c r="G151" s="3" t="s">
        <v>789</v>
      </c>
      <c r="H151" s="3" t="s">
        <v>76</v>
      </c>
      <c r="I151" s="3" t="s">
        <v>34</v>
      </c>
      <c r="J151" s="3" t="s">
        <v>790</v>
      </c>
      <c r="K151" s="3" t="s">
        <v>800</v>
      </c>
      <c r="L151" s="3" t="s">
        <v>62</v>
      </c>
      <c r="M151" s="3"/>
      <c r="N151" s="3" t="s">
        <v>100</v>
      </c>
      <c r="O151" s="3" t="s">
        <v>51</v>
      </c>
      <c r="P151" s="3" t="s">
        <v>199</v>
      </c>
      <c r="Q151" s="6">
        <v>0.92</v>
      </c>
      <c r="R151" s="3" t="s">
        <v>200</v>
      </c>
      <c r="S151" s="3" t="s">
        <v>801</v>
      </c>
      <c r="T151" s="3">
        <v>25</v>
      </c>
      <c r="U151" s="3" t="s">
        <v>43</v>
      </c>
      <c r="V151" s="3" t="s">
        <v>202</v>
      </c>
      <c r="W151" s="9"/>
      <c r="X151" s="9" t="s">
        <v>45</v>
      </c>
      <c r="Y151" s="9"/>
    </row>
    <row r="152" spans="1:25" ht="86" customHeight="1">
      <c r="A152" s="3" t="s">
        <v>802</v>
      </c>
      <c r="B152" s="3" t="s">
        <v>803</v>
      </c>
      <c r="C152" s="3" t="s">
        <v>804</v>
      </c>
      <c r="D152" s="3" t="s">
        <v>803</v>
      </c>
      <c r="E152" s="3" t="s">
        <v>30</v>
      </c>
      <c r="F152" s="3" t="s">
        <v>788</v>
      </c>
      <c r="G152" s="3" t="s">
        <v>789</v>
      </c>
      <c r="H152" s="3" t="s">
        <v>76</v>
      </c>
      <c r="I152" s="3" t="s">
        <v>34</v>
      </c>
      <c r="J152" s="3" t="s">
        <v>790</v>
      </c>
      <c r="K152" s="3" t="s">
        <v>805</v>
      </c>
      <c r="L152" s="3" t="s">
        <v>62</v>
      </c>
      <c r="M152" s="3" t="s">
        <v>49</v>
      </c>
      <c r="N152" s="3" t="s">
        <v>100</v>
      </c>
      <c r="O152" s="3" t="s">
        <v>51</v>
      </c>
      <c r="P152" s="3" t="s">
        <v>199</v>
      </c>
      <c r="Q152" s="6">
        <v>0.92</v>
      </c>
      <c r="R152" s="3" t="s">
        <v>200</v>
      </c>
      <c r="S152" s="3" t="s">
        <v>806</v>
      </c>
      <c r="T152" s="3">
        <v>55</v>
      </c>
      <c r="U152" s="3" t="s">
        <v>43</v>
      </c>
      <c r="V152" s="3" t="s">
        <v>202</v>
      </c>
      <c r="W152" s="9"/>
      <c r="X152" s="9" t="s">
        <v>45</v>
      </c>
      <c r="Y152" s="9"/>
    </row>
    <row r="153" spans="1:25" ht="86" customHeight="1">
      <c r="A153" s="3" t="s">
        <v>807</v>
      </c>
      <c r="B153" s="3" t="s">
        <v>808</v>
      </c>
      <c r="C153" s="3" t="s">
        <v>809</v>
      </c>
      <c r="D153" s="3" t="s">
        <v>808</v>
      </c>
      <c r="E153" s="3" t="s">
        <v>30</v>
      </c>
      <c r="F153" s="3" t="s">
        <v>788</v>
      </c>
      <c r="G153" s="3" t="s">
        <v>789</v>
      </c>
      <c r="H153" s="3" t="s">
        <v>76</v>
      </c>
      <c r="I153" s="3" t="s">
        <v>34</v>
      </c>
      <c r="J153" s="3" t="s">
        <v>790</v>
      </c>
      <c r="K153" s="3" t="s">
        <v>810</v>
      </c>
      <c r="L153" s="3" t="s">
        <v>49</v>
      </c>
      <c r="M153" s="3" t="s">
        <v>50</v>
      </c>
      <c r="N153" s="3" t="s">
        <v>100</v>
      </c>
      <c r="O153" s="3" t="s">
        <v>39</v>
      </c>
      <c r="P153" s="3" t="s">
        <v>199</v>
      </c>
      <c r="Q153" s="6">
        <v>0.84</v>
      </c>
      <c r="R153" s="3" t="s">
        <v>200</v>
      </c>
      <c r="S153" s="3" t="s">
        <v>811</v>
      </c>
      <c r="T153" s="3">
        <v>21</v>
      </c>
      <c r="U153" s="3" t="s">
        <v>43</v>
      </c>
      <c r="V153" s="3" t="s">
        <v>202</v>
      </c>
      <c r="W153" s="9"/>
      <c r="X153" s="9" t="s">
        <v>45</v>
      </c>
      <c r="Y153" s="9"/>
    </row>
    <row r="154" spans="1:25" ht="86" customHeight="1">
      <c r="A154" s="3" t="s">
        <v>812</v>
      </c>
      <c r="B154" s="3" t="s">
        <v>813</v>
      </c>
      <c r="C154" s="3" t="s">
        <v>814</v>
      </c>
      <c r="D154" s="3" t="s">
        <v>813</v>
      </c>
      <c r="E154" s="3" t="s">
        <v>30</v>
      </c>
      <c r="F154" s="3" t="s">
        <v>788</v>
      </c>
      <c r="G154" s="3" t="s">
        <v>789</v>
      </c>
      <c r="H154" s="3" t="s">
        <v>76</v>
      </c>
      <c r="I154" s="3" t="s">
        <v>34</v>
      </c>
      <c r="J154" s="3" t="s">
        <v>790</v>
      </c>
      <c r="K154" s="3" t="s">
        <v>815</v>
      </c>
      <c r="L154" s="3" t="s">
        <v>50</v>
      </c>
      <c r="M154" s="3"/>
      <c r="N154" s="3" t="s">
        <v>100</v>
      </c>
      <c r="O154" s="3" t="s">
        <v>51</v>
      </c>
      <c r="P154" s="3" t="s">
        <v>199</v>
      </c>
      <c r="Q154" s="6">
        <v>0.92</v>
      </c>
      <c r="R154" s="3" t="s">
        <v>200</v>
      </c>
      <c r="S154" s="3" t="s">
        <v>816</v>
      </c>
      <c r="T154" s="3">
        <v>41</v>
      </c>
      <c r="U154" s="3" t="s">
        <v>43</v>
      </c>
      <c r="V154" s="3" t="s">
        <v>202</v>
      </c>
      <c r="W154" s="9"/>
      <c r="X154" s="9" t="s">
        <v>45</v>
      </c>
      <c r="Y154" s="9"/>
    </row>
    <row r="155" spans="1:25" ht="86" customHeight="1">
      <c r="A155" s="3" t="s">
        <v>817</v>
      </c>
      <c r="B155" s="3" t="s">
        <v>818</v>
      </c>
      <c r="C155" s="3" t="s">
        <v>819</v>
      </c>
      <c r="D155" s="3" t="s">
        <v>818</v>
      </c>
      <c r="E155" s="3" t="s">
        <v>30</v>
      </c>
      <c r="F155" s="3" t="s">
        <v>788</v>
      </c>
      <c r="G155" s="3" t="s">
        <v>789</v>
      </c>
      <c r="H155" s="3" t="s">
        <v>76</v>
      </c>
      <c r="I155" s="3" t="s">
        <v>34</v>
      </c>
      <c r="J155" s="3" t="s">
        <v>790</v>
      </c>
      <c r="K155" s="3" t="s">
        <v>820</v>
      </c>
      <c r="L155" s="3" t="s">
        <v>62</v>
      </c>
      <c r="M155" s="3"/>
      <c r="N155" s="3" t="s">
        <v>100</v>
      </c>
      <c r="O155" s="3" t="s">
        <v>39</v>
      </c>
      <c r="P155" s="3" t="s">
        <v>199</v>
      </c>
      <c r="Q155" s="6">
        <v>0.84</v>
      </c>
      <c r="R155" s="3" t="s">
        <v>200</v>
      </c>
      <c r="S155" s="3" t="s">
        <v>821</v>
      </c>
      <c r="T155" s="3">
        <v>7</v>
      </c>
      <c r="U155" s="3" t="s">
        <v>43</v>
      </c>
      <c r="V155" s="3" t="s">
        <v>202</v>
      </c>
      <c r="W155" s="9"/>
      <c r="X155" s="9" t="s">
        <v>45</v>
      </c>
      <c r="Y155" s="9"/>
    </row>
    <row r="156" spans="1:25" ht="86" customHeight="1">
      <c r="A156" s="3" t="s">
        <v>822</v>
      </c>
      <c r="B156" s="3" t="s">
        <v>823</v>
      </c>
      <c r="C156" s="3" t="s">
        <v>824</v>
      </c>
      <c r="D156" s="3" t="s">
        <v>823</v>
      </c>
      <c r="E156" s="3" t="s">
        <v>30</v>
      </c>
      <c r="F156" s="3" t="s">
        <v>825</v>
      </c>
      <c r="G156" s="3" t="s">
        <v>826</v>
      </c>
      <c r="H156" s="3" t="s">
        <v>76</v>
      </c>
      <c r="I156" s="3" t="s">
        <v>34</v>
      </c>
      <c r="J156" s="3" t="s">
        <v>827</v>
      </c>
      <c r="K156" s="3" t="s">
        <v>828</v>
      </c>
      <c r="L156" s="3" t="s">
        <v>50</v>
      </c>
      <c r="M156" s="3" t="s">
        <v>36</v>
      </c>
      <c r="N156" s="3" t="s">
        <v>213</v>
      </c>
      <c r="O156" s="3" t="s">
        <v>39</v>
      </c>
      <c r="P156" s="3" t="s">
        <v>199</v>
      </c>
      <c r="Q156" s="6">
        <v>0.92</v>
      </c>
      <c r="R156" s="3" t="s">
        <v>200</v>
      </c>
      <c r="S156" s="3" t="s">
        <v>829</v>
      </c>
      <c r="T156" s="3">
        <v>59</v>
      </c>
      <c r="U156" s="3" t="s">
        <v>43</v>
      </c>
      <c r="V156" s="3" t="s">
        <v>202</v>
      </c>
      <c r="W156" s="9"/>
      <c r="X156" s="9" t="s">
        <v>45</v>
      </c>
      <c r="Y156" s="9"/>
    </row>
    <row r="157" spans="1:25" ht="86" customHeight="1">
      <c r="A157" s="3" t="s">
        <v>830</v>
      </c>
      <c r="B157" s="3" t="s">
        <v>831</v>
      </c>
      <c r="C157" s="3" t="s">
        <v>832</v>
      </c>
      <c r="D157" s="3" t="s">
        <v>831</v>
      </c>
      <c r="E157" s="3" t="s">
        <v>30</v>
      </c>
      <c r="F157" s="3" t="s">
        <v>825</v>
      </c>
      <c r="G157" s="3" t="s">
        <v>826</v>
      </c>
      <c r="H157" s="3" t="s">
        <v>76</v>
      </c>
      <c r="I157" s="3" t="s">
        <v>34</v>
      </c>
      <c r="J157" s="3" t="s">
        <v>827</v>
      </c>
      <c r="K157" s="3" t="s">
        <v>828</v>
      </c>
      <c r="L157" s="3" t="s">
        <v>36</v>
      </c>
      <c r="M157" s="3"/>
      <c r="N157" s="3" t="s">
        <v>213</v>
      </c>
      <c r="O157" s="3" t="s">
        <v>39</v>
      </c>
      <c r="P157" s="3" t="s">
        <v>199</v>
      </c>
      <c r="Q157" s="6">
        <v>0.92</v>
      </c>
      <c r="R157" s="3" t="s">
        <v>200</v>
      </c>
      <c r="S157" s="3" t="s">
        <v>833</v>
      </c>
      <c r="T157" s="3">
        <v>31</v>
      </c>
      <c r="U157" s="3" t="s">
        <v>43</v>
      </c>
      <c r="V157" s="3" t="s">
        <v>202</v>
      </c>
      <c r="W157" s="9"/>
      <c r="X157" s="9" t="s">
        <v>45</v>
      </c>
      <c r="Y157" s="9"/>
    </row>
    <row r="158" spans="1:25" ht="86" customHeight="1">
      <c r="A158" s="3" t="s">
        <v>834</v>
      </c>
      <c r="B158" s="3" t="s">
        <v>835</v>
      </c>
      <c r="C158" s="3" t="s">
        <v>836</v>
      </c>
      <c r="D158" s="3" t="s">
        <v>835</v>
      </c>
      <c r="E158" s="3" t="s">
        <v>30</v>
      </c>
      <c r="F158" s="3" t="s">
        <v>825</v>
      </c>
      <c r="G158" s="3" t="s">
        <v>826</v>
      </c>
      <c r="H158" s="3" t="s">
        <v>76</v>
      </c>
      <c r="I158" s="3" t="s">
        <v>34</v>
      </c>
      <c r="J158" s="3" t="s">
        <v>827</v>
      </c>
      <c r="K158" s="3" t="s">
        <v>837</v>
      </c>
      <c r="L158" s="3" t="s">
        <v>50</v>
      </c>
      <c r="M158" s="3"/>
      <c r="N158" s="3" t="s">
        <v>213</v>
      </c>
      <c r="O158" s="3" t="s">
        <v>39</v>
      </c>
      <c r="P158" s="3" t="s">
        <v>199</v>
      </c>
      <c r="Q158" s="6">
        <v>0.92</v>
      </c>
      <c r="R158" s="3" t="s">
        <v>200</v>
      </c>
      <c r="S158" s="3" t="s">
        <v>838</v>
      </c>
      <c r="T158" s="3">
        <v>43</v>
      </c>
      <c r="U158" s="3" t="s">
        <v>43</v>
      </c>
      <c r="V158" s="3" t="s">
        <v>202</v>
      </c>
      <c r="W158" s="9"/>
      <c r="X158" s="9" t="s">
        <v>45</v>
      </c>
      <c r="Y158" s="9"/>
    </row>
    <row r="159" spans="1:25" ht="86" customHeight="1">
      <c r="A159" s="3" t="s">
        <v>839</v>
      </c>
      <c r="B159" s="3" t="s">
        <v>840</v>
      </c>
      <c r="C159" s="3" t="s">
        <v>841</v>
      </c>
      <c r="D159" s="3" t="s">
        <v>840</v>
      </c>
      <c r="E159" s="3" t="s">
        <v>30</v>
      </c>
      <c r="F159" s="3" t="s">
        <v>825</v>
      </c>
      <c r="G159" s="3" t="s">
        <v>826</v>
      </c>
      <c r="H159" s="3" t="s">
        <v>76</v>
      </c>
      <c r="I159" s="3" t="s">
        <v>34</v>
      </c>
      <c r="J159" s="3" t="s">
        <v>827</v>
      </c>
      <c r="K159" s="3" t="s">
        <v>837</v>
      </c>
      <c r="L159" s="3" t="s">
        <v>36</v>
      </c>
      <c r="M159" s="3" t="s">
        <v>50</v>
      </c>
      <c r="N159" s="3" t="s">
        <v>100</v>
      </c>
      <c r="O159" s="3" t="s">
        <v>51</v>
      </c>
      <c r="P159" s="3" t="s">
        <v>199</v>
      </c>
      <c r="Q159" s="6">
        <v>0.92</v>
      </c>
      <c r="R159" s="3" t="s">
        <v>200</v>
      </c>
      <c r="S159" s="3" t="s">
        <v>842</v>
      </c>
      <c r="T159" s="3">
        <v>50</v>
      </c>
      <c r="U159" s="3" t="s">
        <v>43</v>
      </c>
      <c r="V159" s="3" t="s">
        <v>202</v>
      </c>
      <c r="W159" s="9"/>
      <c r="X159" s="9" t="s">
        <v>45</v>
      </c>
      <c r="Y159" s="9"/>
    </row>
    <row r="160" spans="1:25" ht="86" customHeight="1">
      <c r="A160" s="3" t="s">
        <v>843</v>
      </c>
      <c r="B160" s="3" t="s">
        <v>844</v>
      </c>
      <c r="C160" s="3" t="s">
        <v>845</v>
      </c>
      <c r="D160" s="3" t="s">
        <v>844</v>
      </c>
      <c r="E160" s="3" t="s">
        <v>30</v>
      </c>
      <c r="F160" s="3" t="s">
        <v>825</v>
      </c>
      <c r="G160" s="3" t="s">
        <v>826</v>
      </c>
      <c r="H160" s="3" t="s">
        <v>76</v>
      </c>
      <c r="I160" s="3" t="s">
        <v>34</v>
      </c>
      <c r="J160" s="3" t="s">
        <v>827</v>
      </c>
      <c r="K160" s="3" t="s">
        <v>837</v>
      </c>
      <c r="L160" s="3" t="s">
        <v>36</v>
      </c>
      <c r="M160" s="3" t="s">
        <v>50</v>
      </c>
      <c r="N160" s="3" t="s">
        <v>213</v>
      </c>
      <c r="O160" s="3" t="s">
        <v>39</v>
      </c>
      <c r="P160" s="3" t="s">
        <v>199</v>
      </c>
      <c r="Q160" s="6">
        <v>0.92</v>
      </c>
      <c r="R160" s="3" t="s">
        <v>200</v>
      </c>
      <c r="S160" s="3" t="s">
        <v>846</v>
      </c>
      <c r="T160" s="3">
        <v>56</v>
      </c>
      <c r="U160" s="3" t="s">
        <v>43</v>
      </c>
      <c r="V160" s="3" t="s">
        <v>202</v>
      </c>
      <c r="W160" s="9"/>
      <c r="X160" s="9" t="s">
        <v>45</v>
      </c>
      <c r="Y160" s="9"/>
    </row>
    <row r="161" spans="1:25" ht="86" customHeight="1">
      <c r="A161" s="3" t="s">
        <v>847</v>
      </c>
      <c r="B161" s="3" t="s">
        <v>848</v>
      </c>
      <c r="C161" s="3" t="s">
        <v>849</v>
      </c>
      <c r="D161" s="3" t="s">
        <v>848</v>
      </c>
      <c r="E161" s="3" t="s">
        <v>30</v>
      </c>
      <c r="F161" s="3" t="s">
        <v>825</v>
      </c>
      <c r="G161" s="3" t="s">
        <v>826</v>
      </c>
      <c r="H161" s="3" t="s">
        <v>76</v>
      </c>
      <c r="I161" s="3" t="s">
        <v>34</v>
      </c>
      <c r="J161" s="3" t="s">
        <v>827</v>
      </c>
      <c r="K161" s="3" t="s">
        <v>850</v>
      </c>
      <c r="L161" s="3" t="s">
        <v>36</v>
      </c>
      <c r="M161" s="3" t="s">
        <v>37</v>
      </c>
      <c r="N161" s="3" t="s">
        <v>100</v>
      </c>
      <c r="O161" s="3" t="s">
        <v>51</v>
      </c>
      <c r="P161" s="3" t="s">
        <v>199</v>
      </c>
      <c r="Q161" s="6">
        <v>0.92</v>
      </c>
      <c r="R161" s="3" t="s">
        <v>200</v>
      </c>
      <c r="S161" s="3" t="s">
        <v>851</v>
      </c>
      <c r="T161" s="3">
        <v>69</v>
      </c>
      <c r="U161" s="3" t="s">
        <v>43</v>
      </c>
      <c r="V161" s="3" t="s">
        <v>202</v>
      </c>
      <c r="W161" s="9"/>
      <c r="X161" s="9" t="s">
        <v>45</v>
      </c>
      <c r="Y161" s="9"/>
    </row>
    <row r="162" spans="1:25" ht="86" customHeight="1">
      <c r="A162" s="3" t="s">
        <v>852</v>
      </c>
      <c r="B162" s="3" t="s">
        <v>853</v>
      </c>
      <c r="C162" s="3" t="s">
        <v>854</v>
      </c>
      <c r="D162" s="3" t="s">
        <v>853</v>
      </c>
      <c r="E162" s="3" t="s">
        <v>30</v>
      </c>
      <c r="F162" s="3" t="s">
        <v>825</v>
      </c>
      <c r="G162" s="3" t="s">
        <v>826</v>
      </c>
      <c r="H162" s="3" t="s">
        <v>76</v>
      </c>
      <c r="I162" s="3" t="s">
        <v>34</v>
      </c>
      <c r="J162" s="3" t="s">
        <v>827</v>
      </c>
      <c r="K162" s="3" t="s">
        <v>855</v>
      </c>
      <c r="L162" s="3" t="s">
        <v>50</v>
      </c>
      <c r="M162" s="3" t="s">
        <v>62</v>
      </c>
      <c r="N162" s="3" t="s">
        <v>100</v>
      </c>
      <c r="O162" s="3" t="s">
        <v>51</v>
      </c>
      <c r="P162" s="3" t="s">
        <v>199</v>
      </c>
      <c r="Q162" s="6">
        <v>0.92</v>
      </c>
      <c r="R162" s="3" t="s">
        <v>200</v>
      </c>
      <c r="S162" s="3" t="s">
        <v>856</v>
      </c>
      <c r="T162" s="3">
        <v>39</v>
      </c>
      <c r="U162" s="3" t="s">
        <v>43</v>
      </c>
      <c r="V162" s="3" t="s">
        <v>202</v>
      </c>
      <c r="W162" s="9"/>
      <c r="X162" s="9" t="s">
        <v>45</v>
      </c>
      <c r="Y162" s="9"/>
    </row>
    <row r="163" spans="1:25" ht="86" customHeight="1">
      <c r="A163" s="3" t="s">
        <v>857</v>
      </c>
      <c r="B163" s="3" t="s">
        <v>858</v>
      </c>
      <c r="C163" s="3" t="s">
        <v>859</v>
      </c>
      <c r="D163" s="3" t="s">
        <v>858</v>
      </c>
      <c r="E163" s="3" t="s">
        <v>30</v>
      </c>
      <c r="F163" s="3" t="s">
        <v>825</v>
      </c>
      <c r="G163" s="3" t="s">
        <v>826</v>
      </c>
      <c r="H163" s="3" t="s">
        <v>76</v>
      </c>
      <c r="I163" s="3" t="s">
        <v>34</v>
      </c>
      <c r="J163" s="3" t="s">
        <v>827</v>
      </c>
      <c r="K163" s="3" t="s">
        <v>860</v>
      </c>
      <c r="L163" s="3" t="s">
        <v>50</v>
      </c>
      <c r="M163" s="3"/>
      <c r="N163" s="3" t="s">
        <v>100</v>
      </c>
      <c r="O163" s="3" t="s">
        <v>51</v>
      </c>
      <c r="P163" s="3" t="s">
        <v>199</v>
      </c>
      <c r="Q163" s="6">
        <v>0.92</v>
      </c>
      <c r="R163" s="3" t="s">
        <v>200</v>
      </c>
      <c r="S163" s="3" t="s">
        <v>861</v>
      </c>
      <c r="T163" s="3">
        <v>39</v>
      </c>
      <c r="U163" s="3" t="s">
        <v>43</v>
      </c>
      <c r="V163" s="3" t="s">
        <v>202</v>
      </c>
      <c r="W163" s="9"/>
      <c r="X163" s="9" t="s">
        <v>45</v>
      </c>
      <c r="Y163" s="9"/>
    </row>
    <row r="164" spans="1:25" ht="86" customHeight="1">
      <c r="A164" s="3" t="s">
        <v>862</v>
      </c>
      <c r="B164" s="3" t="s">
        <v>863</v>
      </c>
      <c r="C164" s="3" t="s">
        <v>864</v>
      </c>
      <c r="D164" s="3" t="s">
        <v>863</v>
      </c>
      <c r="E164" s="3" t="s">
        <v>30</v>
      </c>
      <c r="F164" s="3" t="s">
        <v>825</v>
      </c>
      <c r="G164" s="3" t="s">
        <v>826</v>
      </c>
      <c r="H164" s="3" t="s">
        <v>76</v>
      </c>
      <c r="I164" s="3" t="s">
        <v>34</v>
      </c>
      <c r="J164" s="3" t="s">
        <v>827</v>
      </c>
      <c r="K164" s="3" t="s">
        <v>865</v>
      </c>
      <c r="L164" s="3" t="s">
        <v>36</v>
      </c>
      <c r="M164" s="3" t="s">
        <v>50</v>
      </c>
      <c r="N164" s="3" t="s">
        <v>213</v>
      </c>
      <c r="O164" s="3" t="s">
        <v>39</v>
      </c>
      <c r="P164" s="3" t="s">
        <v>199</v>
      </c>
      <c r="Q164" s="6">
        <v>0.92</v>
      </c>
      <c r="R164" s="3" t="s">
        <v>200</v>
      </c>
      <c r="S164" s="3" t="s">
        <v>866</v>
      </c>
      <c r="T164" s="3">
        <v>44</v>
      </c>
      <c r="U164" s="3" t="s">
        <v>43</v>
      </c>
      <c r="V164" s="3" t="s">
        <v>202</v>
      </c>
      <c r="W164" s="9"/>
      <c r="X164" s="9" t="s">
        <v>45</v>
      </c>
      <c r="Y164" s="9"/>
    </row>
    <row r="165" spans="1:25" ht="86" customHeight="1">
      <c r="A165" s="3" t="s">
        <v>867</v>
      </c>
      <c r="B165" s="3" t="s">
        <v>868</v>
      </c>
      <c r="C165" s="3" t="s">
        <v>869</v>
      </c>
      <c r="D165" s="3" t="s">
        <v>868</v>
      </c>
      <c r="E165" s="3" t="s">
        <v>30</v>
      </c>
      <c r="F165" s="3" t="s">
        <v>825</v>
      </c>
      <c r="G165" s="3" t="s">
        <v>826</v>
      </c>
      <c r="H165" s="3" t="s">
        <v>76</v>
      </c>
      <c r="I165" s="3" t="s">
        <v>34</v>
      </c>
      <c r="J165" s="3" t="s">
        <v>827</v>
      </c>
      <c r="K165" s="3" t="s">
        <v>865</v>
      </c>
      <c r="L165" s="3" t="s">
        <v>50</v>
      </c>
      <c r="M165" s="3"/>
      <c r="N165" s="3" t="s">
        <v>213</v>
      </c>
      <c r="O165" s="3" t="s">
        <v>39</v>
      </c>
      <c r="P165" s="3" t="s">
        <v>199</v>
      </c>
      <c r="Q165" s="6">
        <v>0.84</v>
      </c>
      <c r="R165" s="3" t="s">
        <v>200</v>
      </c>
      <c r="S165" s="3" t="s">
        <v>870</v>
      </c>
      <c r="T165" s="3">
        <v>24</v>
      </c>
      <c r="U165" s="3" t="s">
        <v>43</v>
      </c>
      <c r="V165" s="3" t="s">
        <v>202</v>
      </c>
      <c r="W165" s="9"/>
      <c r="X165" s="9" t="s">
        <v>45</v>
      </c>
      <c r="Y165" s="9"/>
    </row>
    <row r="166" spans="1:25" ht="86" customHeight="1">
      <c r="A166" s="3" t="s">
        <v>871</v>
      </c>
      <c r="B166" s="3" t="s">
        <v>872</v>
      </c>
      <c r="C166" s="3" t="s">
        <v>873</v>
      </c>
      <c r="D166" s="3" t="s">
        <v>872</v>
      </c>
      <c r="E166" s="3" t="s">
        <v>30</v>
      </c>
      <c r="F166" s="3" t="s">
        <v>825</v>
      </c>
      <c r="G166" s="3" t="s">
        <v>826</v>
      </c>
      <c r="H166" s="3" t="s">
        <v>76</v>
      </c>
      <c r="I166" s="3" t="s">
        <v>34</v>
      </c>
      <c r="J166" s="3" t="s">
        <v>827</v>
      </c>
      <c r="K166" s="3" t="s">
        <v>865</v>
      </c>
      <c r="L166" s="3" t="s">
        <v>62</v>
      </c>
      <c r="M166" s="3"/>
      <c r="N166" s="3" t="s">
        <v>100</v>
      </c>
      <c r="O166" s="3" t="s">
        <v>51</v>
      </c>
      <c r="P166" s="3" t="s">
        <v>199</v>
      </c>
      <c r="Q166" s="6">
        <v>0.92</v>
      </c>
      <c r="R166" s="3" t="s">
        <v>200</v>
      </c>
      <c r="S166" s="3" t="s">
        <v>874</v>
      </c>
      <c r="T166" s="3">
        <v>37</v>
      </c>
      <c r="U166" s="3" t="s">
        <v>43</v>
      </c>
      <c r="V166" s="3" t="s">
        <v>202</v>
      </c>
      <c r="W166" s="9"/>
      <c r="X166" s="9" t="s">
        <v>45</v>
      </c>
      <c r="Y166" s="9"/>
    </row>
    <row r="167" spans="1:25" ht="86" customHeight="1">
      <c r="A167" s="3" t="s">
        <v>875</v>
      </c>
      <c r="B167" s="3" t="s">
        <v>876</v>
      </c>
      <c r="C167" s="3" t="s">
        <v>877</v>
      </c>
      <c r="D167" s="3" t="s">
        <v>876</v>
      </c>
      <c r="E167" s="3" t="s">
        <v>30</v>
      </c>
      <c r="F167" s="3" t="s">
        <v>825</v>
      </c>
      <c r="G167" s="3" t="s">
        <v>826</v>
      </c>
      <c r="H167" s="3" t="s">
        <v>33</v>
      </c>
      <c r="I167" s="3" t="s">
        <v>827</v>
      </c>
      <c r="J167" s="3" t="s">
        <v>827</v>
      </c>
      <c r="K167" s="3" t="s">
        <v>878</v>
      </c>
      <c r="L167" s="3" t="s">
        <v>36</v>
      </c>
      <c r="M167" s="3" t="s">
        <v>62</v>
      </c>
      <c r="N167" s="3" t="s">
        <v>38</v>
      </c>
      <c r="O167" s="3" t="s">
        <v>51</v>
      </c>
      <c r="P167" s="3" t="s">
        <v>40</v>
      </c>
      <c r="Q167" s="6">
        <v>0.78</v>
      </c>
      <c r="R167" s="3" t="s">
        <v>41</v>
      </c>
      <c r="S167" s="3" t="s">
        <v>879</v>
      </c>
      <c r="T167" s="3">
        <v>81</v>
      </c>
      <c r="U167" s="3" t="s">
        <v>43</v>
      </c>
      <c r="V167" s="3" t="s">
        <v>44</v>
      </c>
      <c r="W167" s="9"/>
      <c r="X167" s="9" t="s">
        <v>45</v>
      </c>
      <c r="Y167" s="9"/>
    </row>
    <row r="168" spans="1:25" ht="86" customHeight="1">
      <c r="A168" s="3" t="s">
        <v>880</v>
      </c>
      <c r="B168" s="3" t="s">
        <v>881</v>
      </c>
      <c r="C168" s="3" t="s">
        <v>882</v>
      </c>
      <c r="D168" s="3" t="s">
        <v>881</v>
      </c>
      <c r="E168" s="3" t="s">
        <v>30</v>
      </c>
      <c r="F168" s="3" t="s">
        <v>825</v>
      </c>
      <c r="G168" s="3" t="s">
        <v>826</v>
      </c>
      <c r="H168" s="3" t="s">
        <v>33</v>
      </c>
      <c r="I168" s="3" t="s">
        <v>827</v>
      </c>
      <c r="J168" s="3" t="s">
        <v>827</v>
      </c>
      <c r="K168" s="3" t="s">
        <v>878</v>
      </c>
      <c r="L168" s="3" t="s">
        <v>319</v>
      </c>
      <c r="M168" s="3"/>
      <c r="N168" s="3" t="s">
        <v>38</v>
      </c>
      <c r="O168" s="3" t="s">
        <v>51</v>
      </c>
      <c r="P168" s="3" t="s">
        <v>40</v>
      </c>
      <c r="Q168" s="6">
        <v>0.78</v>
      </c>
      <c r="R168" s="3" t="s">
        <v>41</v>
      </c>
      <c r="S168" s="3" t="s">
        <v>883</v>
      </c>
      <c r="T168" s="3">
        <v>117</v>
      </c>
      <c r="U168" s="3" t="s">
        <v>43</v>
      </c>
      <c r="V168" s="3" t="s">
        <v>44</v>
      </c>
      <c r="W168" s="9"/>
      <c r="X168" s="9" t="s">
        <v>45</v>
      </c>
      <c r="Y168" s="9"/>
    </row>
    <row r="169" spans="1:25" ht="86" customHeight="1">
      <c r="A169" s="3" t="s">
        <v>884</v>
      </c>
      <c r="B169" s="3" t="s">
        <v>885</v>
      </c>
      <c r="C169" s="3" t="s">
        <v>886</v>
      </c>
      <c r="D169" s="3" t="s">
        <v>885</v>
      </c>
      <c r="E169" s="3" t="s">
        <v>30</v>
      </c>
      <c r="F169" s="3" t="s">
        <v>825</v>
      </c>
      <c r="G169" s="3" t="s">
        <v>826</v>
      </c>
      <c r="H169" s="3" t="s">
        <v>76</v>
      </c>
      <c r="I169" s="3" t="s">
        <v>34</v>
      </c>
      <c r="J169" s="3" t="s">
        <v>827</v>
      </c>
      <c r="K169" s="3" t="s">
        <v>887</v>
      </c>
      <c r="L169" s="3" t="s">
        <v>36</v>
      </c>
      <c r="M169" s="3" t="s">
        <v>50</v>
      </c>
      <c r="N169" s="3" t="s">
        <v>213</v>
      </c>
      <c r="O169" s="3" t="s">
        <v>39</v>
      </c>
      <c r="P169" s="3" t="s">
        <v>199</v>
      </c>
      <c r="Q169" s="6">
        <v>0.92</v>
      </c>
      <c r="R169" s="3" t="s">
        <v>200</v>
      </c>
      <c r="S169" s="3" t="s">
        <v>888</v>
      </c>
      <c r="T169" s="3">
        <v>36</v>
      </c>
      <c r="U169" s="3" t="s">
        <v>43</v>
      </c>
      <c r="V169" s="3" t="s">
        <v>202</v>
      </c>
      <c r="W169" s="9"/>
      <c r="X169" s="9" t="s">
        <v>45</v>
      </c>
      <c r="Y169" s="9"/>
    </row>
    <row r="170" spans="1:25" ht="86" customHeight="1">
      <c r="A170" s="3" t="s">
        <v>889</v>
      </c>
      <c r="B170" s="3" t="s">
        <v>890</v>
      </c>
      <c r="C170" s="3" t="s">
        <v>891</v>
      </c>
      <c r="D170" s="3" t="s">
        <v>892</v>
      </c>
      <c r="E170" s="3" t="s">
        <v>51</v>
      </c>
      <c r="F170" s="3" t="s">
        <v>825</v>
      </c>
      <c r="G170" s="3" t="s">
        <v>826</v>
      </c>
      <c r="H170" s="3" t="s">
        <v>33</v>
      </c>
      <c r="I170" s="3" t="s">
        <v>34</v>
      </c>
      <c r="J170" s="3" t="s">
        <v>34</v>
      </c>
      <c r="K170" s="3" t="s">
        <v>887</v>
      </c>
      <c r="L170" s="3" t="s">
        <v>319</v>
      </c>
      <c r="M170" s="3"/>
      <c r="N170" s="3" t="s">
        <v>38</v>
      </c>
      <c r="O170" s="3" t="s">
        <v>51</v>
      </c>
      <c r="P170" s="3" t="s">
        <v>40</v>
      </c>
      <c r="Q170" s="6">
        <v>0.78</v>
      </c>
      <c r="R170" s="3" t="s">
        <v>41</v>
      </c>
      <c r="S170" s="3" t="s">
        <v>893</v>
      </c>
      <c r="T170" s="3">
        <v>26</v>
      </c>
      <c r="U170" s="3" t="s">
        <v>43</v>
      </c>
      <c r="V170" s="3" t="s">
        <v>44</v>
      </c>
      <c r="W170" s="9"/>
      <c r="X170" s="9" t="s">
        <v>45</v>
      </c>
      <c r="Y170" s="9"/>
    </row>
    <row r="171" spans="1:25" ht="86" customHeight="1">
      <c r="A171" s="3" t="s">
        <v>894</v>
      </c>
      <c r="B171" s="3" t="s">
        <v>895</v>
      </c>
      <c r="C171" s="3" t="s">
        <v>896</v>
      </c>
      <c r="D171" s="3" t="s">
        <v>895</v>
      </c>
      <c r="E171" s="3" t="s">
        <v>30</v>
      </c>
      <c r="F171" s="3" t="s">
        <v>825</v>
      </c>
      <c r="G171" s="3" t="s">
        <v>826</v>
      </c>
      <c r="H171" s="3" t="s">
        <v>76</v>
      </c>
      <c r="I171" s="3" t="s">
        <v>34</v>
      </c>
      <c r="J171" s="3" t="s">
        <v>827</v>
      </c>
      <c r="K171" s="3" t="s">
        <v>897</v>
      </c>
      <c r="L171" s="3" t="s">
        <v>62</v>
      </c>
      <c r="M171" s="3"/>
      <c r="N171" s="3" t="s">
        <v>213</v>
      </c>
      <c r="O171" s="3" t="s">
        <v>39</v>
      </c>
      <c r="P171" s="3" t="s">
        <v>199</v>
      </c>
      <c r="Q171" s="6">
        <v>0.84</v>
      </c>
      <c r="R171" s="3" t="s">
        <v>200</v>
      </c>
      <c r="S171" s="3" t="s">
        <v>898</v>
      </c>
      <c r="T171" s="3">
        <v>19</v>
      </c>
      <c r="U171" s="3" t="s">
        <v>43</v>
      </c>
      <c r="V171" s="3" t="s">
        <v>202</v>
      </c>
      <c r="W171" s="9"/>
      <c r="X171" s="9" t="s">
        <v>45</v>
      </c>
      <c r="Y171" s="9"/>
    </row>
    <row r="172" spans="1:25" ht="86" customHeight="1">
      <c r="A172" s="3" t="s">
        <v>899</v>
      </c>
      <c r="B172" s="3" t="s">
        <v>900</v>
      </c>
      <c r="C172" s="3" t="s">
        <v>901</v>
      </c>
      <c r="D172" s="3" t="s">
        <v>900</v>
      </c>
      <c r="E172" s="3" t="s">
        <v>30</v>
      </c>
      <c r="F172" s="3" t="s">
        <v>825</v>
      </c>
      <c r="G172" s="3" t="s">
        <v>826</v>
      </c>
      <c r="H172" s="3" t="s">
        <v>33</v>
      </c>
      <c r="I172" s="3" t="s">
        <v>34</v>
      </c>
      <c r="J172" s="3" t="s">
        <v>34</v>
      </c>
      <c r="K172" s="3" t="s">
        <v>897</v>
      </c>
      <c r="L172" s="3" t="s">
        <v>62</v>
      </c>
      <c r="M172" s="3" t="s">
        <v>50</v>
      </c>
      <c r="N172" s="3" t="s">
        <v>38</v>
      </c>
      <c r="O172" s="3" t="s">
        <v>51</v>
      </c>
      <c r="P172" s="3" t="s">
        <v>40</v>
      </c>
      <c r="Q172" s="6">
        <v>0.78</v>
      </c>
      <c r="R172" s="3" t="s">
        <v>41</v>
      </c>
      <c r="S172" s="3" t="s">
        <v>902</v>
      </c>
      <c r="T172" s="3">
        <v>104</v>
      </c>
      <c r="U172" s="3" t="s">
        <v>43</v>
      </c>
      <c r="V172" s="3" t="s">
        <v>44</v>
      </c>
      <c r="W172" s="9"/>
      <c r="X172" s="9" t="s">
        <v>45</v>
      </c>
      <c r="Y172" s="9"/>
    </row>
    <row r="173" spans="1:25" ht="86" customHeight="1">
      <c r="A173" s="3" t="s">
        <v>903</v>
      </c>
      <c r="B173" s="3" t="s">
        <v>904</v>
      </c>
      <c r="C173" s="3" t="s">
        <v>905</v>
      </c>
      <c r="D173" s="3" t="s">
        <v>904</v>
      </c>
      <c r="E173" s="3" t="s">
        <v>30</v>
      </c>
      <c r="F173" s="3" t="s">
        <v>825</v>
      </c>
      <c r="G173" s="3" t="s">
        <v>826</v>
      </c>
      <c r="H173" s="3" t="s">
        <v>76</v>
      </c>
      <c r="I173" s="3" t="s">
        <v>34</v>
      </c>
      <c r="J173" s="3" t="s">
        <v>827</v>
      </c>
      <c r="K173" s="3" t="s">
        <v>906</v>
      </c>
      <c r="L173" s="3" t="s">
        <v>36</v>
      </c>
      <c r="M173" s="3" t="s">
        <v>50</v>
      </c>
      <c r="N173" s="3" t="s">
        <v>213</v>
      </c>
      <c r="O173" s="3" t="s">
        <v>39</v>
      </c>
      <c r="P173" s="3" t="s">
        <v>199</v>
      </c>
      <c r="Q173" s="6">
        <v>0.92</v>
      </c>
      <c r="R173" s="3" t="s">
        <v>200</v>
      </c>
      <c r="S173" s="3" t="s">
        <v>907</v>
      </c>
      <c r="T173" s="3">
        <v>46</v>
      </c>
      <c r="U173" s="3" t="s">
        <v>43</v>
      </c>
      <c r="V173" s="3" t="s">
        <v>202</v>
      </c>
      <c r="W173" s="9"/>
      <c r="X173" s="9" t="s">
        <v>45</v>
      </c>
      <c r="Y173" s="9"/>
    </row>
    <row r="174" spans="1:25" ht="86" customHeight="1">
      <c r="A174" s="3" t="s">
        <v>908</v>
      </c>
      <c r="B174" s="3" t="s">
        <v>909</v>
      </c>
      <c r="C174" s="3" t="s">
        <v>910</v>
      </c>
      <c r="D174" s="3" t="s">
        <v>909</v>
      </c>
      <c r="E174" s="3" t="s">
        <v>30</v>
      </c>
      <c r="F174" s="3" t="s">
        <v>825</v>
      </c>
      <c r="G174" s="3" t="s">
        <v>826</v>
      </c>
      <c r="H174" s="3" t="s">
        <v>76</v>
      </c>
      <c r="I174" s="3" t="s">
        <v>34</v>
      </c>
      <c r="J174" s="3" t="s">
        <v>827</v>
      </c>
      <c r="K174" s="3" t="s">
        <v>911</v>
      </c>
      <c r="L174" s="3" t="s">
        <v>50</v>
      </c>
      <c r="M174" s="3" t="s">
        <v>57</v>
      </c>
      <c r="N174" s="3" t="s">
        <v>38</v>
      </c>
      <c r="O174" s="3" t="s">
        <v>39</v>
      </c>
      <c r="P174" s="3" t="s">
        <v>40</v>
      </c>
      <c r="Q174" s="6">
        <v>0.84</v>
      </c>
      <c r="R174" s="3" t="s">
        <v>41</v>
      </c>
      <c r="S174" s="3" t="s">
        <v>912</v>
      </c>
      <c r="T174" s="3">
        <v>491</v>
      </c>
      <c r="U174" s="3" t="s">
        <v>43</v>
      </c>
      <c r="V174" s="3" t="s">
        <v>44</v>
      </c>
      <c r="W174" s="9"/>
      <c r="X174" s="9" t="s">
        <v>45</v>
      </c>
      <c r="Y174" s="9"/>
    </row>
    <row r="175" spans="1:25" ht="86" customHeight="1">
      <c r="A175" s="3" t="s">
        <v>913</v>
      </c>
      <c r="B175" s="3" t="s">
        <v>914</v>
      </c>
      <c r="C175" s="3" t="s">
        <v>915</v>
      </c>
      <c r="D175" s="3" t="s">
        <v>914</v>
      </c>
      <c r="E175" s="3" t="s">
        <v>30</v>
      </c>
      <c r="F175" s="3" t="s">
        <v>825</v>
      </c>
      <c r="G175" s="3" t="s">
        <v>826</v>
      </c>
      <c r="H175" s="3" t="s">
        <v>33</v>
      </c>
      <c r="I175" s="3" t="s">
        <v>34</v>
      </c>
      <c r="J175" s="3" t="s">
        <v>34</v>
      </c>
      <c r="K175" s="3" t="s">
        <v>916</v>
      </c>
      <c r="L175" s="3" t="s">
        <v>319</v>
      </c>
      <c r="M175" s="3"/>
      <c r="N175" s="3" t="s">
        <v>38</v>
      </c>
      <c r="O175" s="3" t="s">
        <v>51</v>
      </c>
      <c r="P175" s="3" t="s">
        <v>40</v>
      </c>
      <c r="Q175" s="6">
        <v>0.78</v>
      </c>
      <c r="R175" s="3" t="s">
        <v>41</v>
      </c>
      <c r="S175" s="3" t="s">
        <v>917</v>
      </c>
      <c r="T175" s="3">
        <v>21</v>
      </c>
      <c r="U175" s="3" t="s">
        <v>43</v>
      </c>
      <c r="V175" s="3" t="s">
        <v>44</v>
      </c>
      <c r="W175" s="9"/>
      <c r="X175" s="9" t="s">
        <v>45</v>
      </c>
      <c r="Y175" s="9"/>
    </row>
    <row r="176" spans="1:25" ht="86" customHeight="1">
      <c r="A176" s="3" t="s">
        <v>918</v>
      </c>
      <c r="B176" s="3" t="s">
        <v>919</v>
      </c>
      <c r="C176" s="3" t="s">
        <v>920</v>
      </c>
      <c r="D176" s="3" t="s">
        <v>919</v>
      </c>
      <c r="E176" s="3" t="s">
        <v>30</v>
      </c>
      <c r="F176" s="3" t="s">
        <v>825</v>
      </c>
      <c r="G176" s="3" t="s">
        <v>826</v>
      </c>
      <c r="H176" s="3" t="s">
        <v>33</v>
      </c>
      <c r="I176" s="3" t="s">
        <v>34</v>
      </c>
      <c r="J176" s="3" t="s">
        <v>34</v>
      </c>
      <c r="K176" s="3" t="s">
        <v>916</v>
      </c>
      <c r="L176" s="3" t="s">
        <v>50</v>
      </c>
      <c r="M176" s="3" t="s">
        <v>62</v>
      </c>
      <c r="N176" s="3" t="s">
        <v>38</v>
      </c>
      <c r="O176" s="3" t="s">
        <v>39</v>
      </c>
      <c r="P176" s="3" t="s">
        <v>40</v>
      </c>
      <c r="Q176" s="6">
        <v>0.78</v>
      </c>
      <c r="R176" s="3" t="s">
        <v>41</v>
      </c>
      <c r="S176" s="3" t="s">
        <v>921</v>
      </c>
      <c r="T176" s="3">
        <v>70</v>
      </c>
      <c r="U176" s="3" t="s">
        <v>43</v>
      </c>
      <c r="V176" s="3" t="s">
        <v>44</v>
      </c>
      <c r="W176" s="9"/>
      <c r="X176" s="9" t="s">
        <v>45</v>
      </c>
      <c r="Y176" s="9"/>
    </row>
    <row r="177" spans="1:25" ht="86" customHeight="1">
      <c r="A177" s="3" t="s">
        <v>922</v>
      </c>
      <c r="B177" s="3" t="s">
        <v>923</v>
      </c>
      <c r="C177" s="3" t="s">
        <v>924</v>
      </c>
      <c r="D177" s="3" t="s">
        <v>923</v>
      </c>
      <c r="E177" s="3" t="s">
        <v>30</v>
      </c>
      <c r="F177" s="3" t="s">
        <v>825</v>
      </c>
      <c r="G177" s="3" t="s">
        <v>826</v>
      </c>
      <c r="H177" s="3" t="s">
        <v>33</v>
      </c>
      <c r="I177" s="3" t="s">
        <v>34</v>
      </c>
      <c r="J177" s="3" t="s">
        <v>34</v>
      </c>
      <c r="K177" s="3" t="s">
        <v>916</v>
      </c>
      <c r="L177" s="3" t="s">
        <v>319</v>
      </c>
      <c r="M177" s="3"/>
      <c r="N177" s="3" t="s">
        <v>38</v>
      </c>
      <c r="O177" s="3" t="s">
        <v>51</v>
      </c>
      <c r="P177" s="3" t="s">
        <v>40</v>
      </c>
      <c r="Q177" s="6">
        <v>0.78</v>
      </c>
      <c r="R177" s="3" t="s">
        <v>41</v>
      </c>
      <c r="S177" s="3" t="s">
        <v>925</v>
      </c>
      <c r="T177" s="3">
        <v>68</v>
      </c>
      <c r="U177" s="3" t="s">
        <v>43</v>
      </c>
      <c r="V177" s="3" t="s">
        <v>44</v>
      </c>
      <c r="W177" s="9"/>
      <c r="X177" s="9" t="s">
        <v>45</v>
      </c>
      <c r="Y177" s="9"/>
    </row>
    <row r="178" spans="1:25" ht="86" customHeight="1">
      <c r="A178" s="3" t="s">
        <v>926</v>
      </c>
      <c r="B178" s="3" t="s">
        <v>927</v>
      </c>
      <c r="C178" s="3" t="s">
        <v>928</v>
      </c>
      <c r="D178" s="3" t="s">
        <v>927</v>
      </c>
      <c r="E178" s="3" t="s">
        <v>30</v>
      </c>
      <c r="F178" s="3" t="s">
        <v>825</v>
      </c>
      <c r="G178" s="3" t="s">
        <v>826</v>
      </c>
      <c r="H178" s="3" t="s">
        <v>33</v>
      </c>
      <c r="I178" s="3" t="s">
        <v>34</v>
      </c>
      <c r="J178" s="3" t="s">
        <v>34</v>
      </c>
      <c r="K178" s="3" t="s">
        <v>916</v>
      </c>
      <c r="L178" s="3" t="s">
        <v>57</v>
      </c>
      <c r="M178" s="3" t="s">
        <v>746</v>
      </c>
      <c r="N178" s="3" t="s">
        <v>38</v>
      </c>
      <c r="O178" s="3" t="s">
        <v>51</v>
      </c>
      <c r="P178" s="3" t="s">
        <v>40</v>
      </c>
      <c r="Q178" s="6">
        <v>0.78</v>
      </c>
      <c r="R178" s="3" t="s">
        <v>41</v>
      </c>
      <c r="S178" s="3" t="s">
        <v>929</v>
      </c>
      <c r="T178" s="3">
        <v>415</v>
      </c>
      <c r="U178" s="3" t="s">
        <v>43</v>
      </c>
      <c r="V178" s="3" t="s">
        <v>44</v>
      </c>
      <c r="W178" s="9"/>
      <c r="X178" s="9" t="s">
        <v>45</v>
      </c>
      <c r="Y178" s="9"/>
    </row>
    <row r="179" spans="1:25" ht="86" customHeight="1">
      <c r="A179" s="3" t="s">
        <v>930</v>
      </c>
      <c r="B179" s="3" t="s">
        <v>931</v>
      </c>
      <c r="C179" s="3" t="s">
        <v>932</v>
      </c>
      <c r="D179" s="3" t="s">
        <v>933</v>
      </c>
      <c r="E179" s="3" t="s">
        <v>51</v>
      </c>
      <c r="F179" s="3" t="s">
        <v>825</v>
      </c>
      <c r="G179" s="3" t="s">
        <v>826</v>
      </c>
      <c r="H179" s="3" t="s">
        <v>33</v>
      </c>
      <c r="I179" s="3" t="s">
        <v>34</v>
      </c>
      <c r="J179" s="3" t="s">
        <v>34</v>
      </c>
      <c r="K179" s="3" t="s">
        <v>916</v>
      </c>
      <c r="L179" s="3" t="s">
        <v>50</v>
      </c>
      <c r="M179" s="3" t="s">
        <v>934</v>
      </c>
      <c r="N179" s="3" t="s">
        <v>100</v>
      </c>
      <c r="O179" s="3" t="s">
        <v>51</v>
      </c>
      <c r="P179" s="3" t="s">
        <v>40</v>
      </c>
      <c r="Q179" s="6">
        <v>0.78</v>
      </c>
      <c r="R179" s="3" t="s">
        <v>41</v>
      </c>
      <c r="S179" s="3" t="s">
        <v>935</v>
      </c>
      <c r="T179" s="3">
        <v>236</v>
      </c>
      <c r="U179" s="3" t="s">
        <v>43</v>
      </c>
      <c r="V179" s="3" t="s">
        <v>44</v>
      </c>
      <c r="W179" s="9"/>
      <c r="X179" s="9" t="s">
        <v>45</v>
      </c>
      <c r="Y179" s="9"/>
    </row>
    <row r="180" spans="1:25" ht="86" customHeight="1">
      <c r="A180" s="3" t="s">
        <v>936</v>
      </c>
      <c r="B180" s="3" t="s">
        <v>937</v>
      </c>
      <c r="C180" s="3" t="s">
        <v>938</v>
      </c>
      <c r="D180" s="3" t="s">
        <v>939</v>
      </c>
      <c r="E180" s="3" t="s">
        <v>51</v>
      </c>
      <c r="F180" s="3" t="s">
        <v>825</v>
      </c>
      <c r="G180" s="3" t="s">
        <v>826</v>
      </c>
      <c r="H180" s="3" t="s">
        <v>33</v>
      </c>
      <c r="I180" s="3" t="s">
        <v>34</v>
      </c>
      <c r="J180" s="3" t="s">
        <v>34</v>
      </c>
      <c r="K180" s="3" t="s">
        <v>916</v>
      </c>
      <c r="L180" s="3" t="s">
        <v>62</v>
      </c>
      <c r="M180" s="3" t="s">
        <v>50</v>
      </c>
      <c r="N180" s="3" t="s">
        <v>100</v>
      </c>
      <c r="O180" s="3" t="s">
        <v>51</v>
      </c>
      <c r="P180" s="3" t="s">
        <v>40</v>
      </c>
      <c r="Q180" s="6">
        <v>0.78</v>
      </c>
      <c r="R180" s="3" t="s">
        <v>41</v>
      </c>
      <c r="S180" s="3" t="s">
        <v>940</v>
      </c>
      <c r="T180" s="3">
        <v>43</v>
      </c>
      <c r="U180" s="3" t="s">
        <v>43</v>
      </c>
      <c r="V180" s="3" t="s">
        <v>44</v>
      </c>
      <c r="W180" s="9"/>
      <c r="X180" s="9" t="s">
        <v>45</v>
      </c>
      <c r="Y180" s="9"/>
    </row>
    <row r="181" spans="1:25" ht="86" customHeight="1">
      <c r="A181" s="3" t="s">
        <v>941</v>
      </c>
      <c r="B181" s="3" t="s">
        <v>942</v>
      </c>
      <c r="C181" s="3" t="s">
        <v>943</v>
      </c>
      <c r="D181" s="3" t="s">
        <v>942</v>
      </c>
      <c r="E181" s="3" t="s">
        <v>30</v>
      </c>
      <c r="F181" s="3" t="s">
        <v>944</v>
      </c>
      <c r="G181" s="3" t="s">
        <v>945</v>
      </c>
      <c r="H181" s="3" t="s">
        <v>33</v>
      </c>
      <c r="I181" s="3" t="s">
        <v>34</v>
      </c>
      <c r="J181" s="3" t="s">
        <v>34</v>
      </c>
      <c r="K181" s="3" t="s">
        <v>946</v>
      </c>
      <c r="L181" s="3" t="s">
        <v>62</v>
      </c>
      <c r="M181" s="3"/>
      <c r="N181" s="3" t="s">
        <v>38</v>
      </c>
      <c r="O181" s="3" t="s">
        <v>51</v>
      </c>
      <c r="P181" s="3" t="s">
        <v>40</v>
      </c>
      <c r="Q181" s="6">
        <v>0.78</v>
      </c>
      <c r="R181" s="3" t="s">
        <v>41</v>
      </c>
      <c r="S181" s="3" t="s">
        <v>947</v>
      </c>
      <c r="T181" s="3">
        <v>439</v>
      </c>
      <c r="U181" s="3" t="s">
        <v>43</v>
      </c>
      <c r="V181" s="3" t="s">
        <v>44</v>
      </c>
      <c r="W181" s="9"/>
      <c r="X181" s="9" t="s">
        <v>45</v>
      </c>
      <c r="Y181" s="9"/>
    </row>
    <row r="182" spans="1:25" ht="86" customHeight="1">
      <c r="A182" s="3" t="s">
        <v>948</v>
      </c>
      <c r="B182" s="3" t="s">
        <v>949</v>
      </c>
      <c r="C182" s="3" t="s">
        <v>950</v>
      </c>
      <c r="D182" s="3" t="s">
        <v>949</v>
      </c>
      <c r="E182" s="3" t="s">
        <v>30</v>
      </c>
      <c r="F182" s="3" t="s">
        <v>944</v>
      </c>
      <c r="G182" s="3" t="s">
        <v>945</v>
      </c>
      <c r="H182" s="3" t="s">
        <v>33</v>
      </c>
      <c r="I182" s="3" t="s">
        <v>34</v>
      </c>
      <c r="J182" s="3" t="s">
        <v>34</v>
      </c>
      <c r="K182" s="3" t="s">
        <v>951</v>
      </c>
      <c r="L182" s="3" t="s">
        <v>57</v>
      </c>
      <c r="M182" s="3" t="s">
        <v>36</v>
      </c>
      <c r="N182" s="3" t="s">
        <v>38</v>
      </c>
      <c r="O182" s="3" t="s">
        <v>39</v>
      </c>
      <c r="P182" s="3" t="s">
        <v>40</v>
      </c>
      <c r="Q182" s="6">
        <v>0.78</v>
      </c>
      <c r="R182" s="3" t="s">
        <v>41</v>
      </c>
      <c r="S182" s="3" t="s">
        <v>952</v>
      </c>
      <c r="T182" s="3">
        <v>445</v>
      </c>
      <c r="U182" s="3" t="s">
        <v>43</v>
      </c>
      <c r="V182" s="3" t="s">
        <v>44</v>
      </c>
      <c r="W182" s="9"/>
      <c r="X182" s="9" t="s">
        <v>45</v>
      </c>
      <c r="Y182" s="9"/>
    </row>
    <row r="183" spans="1:25" ht="86" customHeight="1">
      <c r="A183" s="3" t="s">
        <v>953</v>
      </c>
      <c r="B183" s="3" t="s">
        <v>954</v>
      </c>
      <c r="C183" s="3" t="s">
        <v>955</v>
      </c>
      <c r="D183" s="3" t="s">
        <v>954</v>
      </c>
      <c r="E183" s="3" t="s">
        <v>30</v>
      </c>
      <c r="F183" s="3" t="s">
        <v>944</v>
      </c>
      <c r="G183" s="3" t="s">
        <v>945</v>
      </c>
      <c r="H183" s="3" t="s">
        <v>33</v>
      </c>
      <c r="I183" s="3" t="s">
        <v>34</v>
      </c>
      <c r="J183" s="3" t="s">
        <v>34</v>
      </c>
      <c r="K183" s="3" t="s">
        <v>951</v>
      </c>
      <c r="L183" s="3" t="s">
        <v>62</v>
      </c>
      <c r="M183" s="3"/>
      <c r="N183" s="3" t="s">
        <v>100</v>
      </c>
      <c r="O183" s="3" t="s">
        <v>51</v>
      </c>
      <c r="P183" s="3" t="s">
        <v>40</v>
      </c>
      <c r="Q183" s="6">
        <v>0.78</v>
      </c>
      <c r="R183" s="3" t="s">
        <v>41</v>
      </c>
      <c r="S183" s="3" t="s">
        <v>956</v>
      </c>
      <c r="T183" s="3">
        <v>53</v>
      </c>
      <c r="U183" s="3" t="s">
        <v>43</v>
      </c>
      <c r="V183" s="3" t="s">
        <v>44</v>
      </c>
      <c r="W183" s="9"/>
      <c r="X183" s="9" t="s">
        <v>45</v>
      </c>
      <c r="Y183" s="9"/>
    </row>
    <row r="184" spans="1:25" ht="86" customHeight="1">
      <c r="A184" s="3" t="s">
        <v>957</v>
      </c>
      <c r="B184" s="3" t="s">
        <v>958</v>
      </c>
      <c r="C184" s="3" t="s">
        <v>959</v>
      </c>
      <c r="D184" s="3" t="s">
        <v>958</v>
      </c>
      <c r="E184" s="3" t="s">
        <v>30</v>
      </c>
      <c r="F184" s="3" t="s">
        <v>944</v>
      </c>
      <c r="G184" s="3" t="s">
        <v>945</v>
      </c>
      <c r="H184" s="3" t="s">
        <v>33</v>
      </c>
      <c r="I184" s="3" t="s">
        <v>34</v>
      </c>
      <c r="J184" s="3" t="s">
        <v>34</v>
      </c>
      <c r="K184" s="3" t="s">
        <v>951</v>
      </c>
      <c r="L184" s="3" t="s">
        <v>62</v>
      </c>
      <c r="M184" s="3" t="s">
        <v>99</v>
      </c>
      <c r="N184" s="3" t="s">
        <v>38</v>
      </c>
      <c r="O184" s="3" t="s">
        <v>39</v>
      </c>
      <c r="P184" s="3" t="s">
        <v>40</v>
      </c>
      <c r="Q184" s="6">
        <v>0.78</v>
      </c>
      <c r="R184" s="3" t="s">
        <v>41</v>
      </c>
      <c r="S184" s="3" t="s">
        <v>960</v>
      </c>
      <c r="T184" s="3">
        <v>407</v>
      </c>
      <c r="U184" s="3" t="s">
        <v>43</v>
      </c>
      <c r="V184" s="3" t="s">
        <v>44</v>
      </c>
      <c r="W184" s="9"/>
      <c r="X184" s="9" t="s">
        <v>45</v>
      </c>
      <c r="Y184" s="9"/>
    </row>
    <row r="185" spans="1:25" ht="86" customHeight="1">
      <c r="A185" s="3" t="s">
        <v>961</v>
      </c>
      <c r="B185" s="3" t="s">
        <v>962</v>
      </c>
      <c r="C185" s="3" t="s">
        <v>963</v>
      </c>
      <c r="D185" s="3" t="s">
        <v>962</v>
      </c>
      <c r="E185" s="3" t="s">
        <v>30</v>
      </c>
      <c r="F185" s="3" t="s">
        <v>944</v>
      </c>
      <c r="G185" s="3" t="s">
        <v>945</v>
      </c>
      <c r="H185" s="3" t="s">
        <v>33</v>
      </c>
      <c r="I185" s="3" t="s">
        <v>34</v>
      </c>
      <c r="J185" s="3" t="s">
        <v>34</v>
      </c>
      <c r="K185" s="3" t="s">
        <v>951</v>
      </c>
      <c r="L185" s="3" t="s">
        <v>57</v>
      </c>
      <c r="M185" s="3"/>
      <c r="N185" s="3" t="s">
        <v>38</v>
      </c>
      <c r="O185" s="3" t="s">
        <v>51</v>
      </c>
      <c r="P185" s="3" t="s">
        <v>40</v>
      </c>
      <c r="Q185" s="6">
        <v>0.78</v>
      </c>
      <c r="R185" s="3" t="s">
        <v>41</v>
      </c>
      <c r="S185" s="3" t="s">
        <v>964</v>
      </c>
      <c r="T185" s="3">
        <v>333</v>
      </c>
      <c r="U185" s="3" t="s">
        <v>43</v>
      </c>
      <c r="V185" s="3" t="s">
        <v>44</v>
      </c>
      <c r="W185" s="9"/>
      <c r="X185" s="9" t="s">
        <v>45</v>
      </c>
      <c r="Y185" s="9"/>
    </row>
    <row r="186" spans="1:25" ht="86" customHeight="1">
      <c r="A186" s="3" t="s">
        <v>965</v>
      </c>
      <c r="B186" s="3" t="s">
        <v>966</v>
      </c>
      <c r="C186" s="3" t="s">
        <v>967</v>
      </c>
      <c r="D186" s="3" t="s">
        <v>966</v>
      </c>
      <c r="E186" s="3" t="s">
        <v>30</v>
      </c>
      <c r="F186" s="3" t="s">
        <v>968</v>
      </c>
      <c r="G186" s="3" t="s">
        <v>969</v>
      </c>
      <c r="H186" s="3" t="s">
        <v>76</v>
      </c>
      <c r="I186" s="3" t="s">
        <v>34</v>
      </c>
      <c r="J186" s="3" t="s">
        <v>970</v>
      </c>
      <c r="K186" s="3" t="s">
        <v>971</v>
      </c>
      <c r="L186" s="3" t="s">
        <v>49</v>
      </c>
      <c r="M186" s="3" t="s">
        <v>71</v>
      </c>
      <c r="N186" s="3" t="s">
        <v>100</v>
      </c>
      <c r="O186" s="3" t="s">
        <v>51</v>
      </c>
      <c r="P186" s="3" t="s">
        <v>199</v>
      </c>
      <c r="Q186" s="6">
        <v>0.92</v>
      </c>
      <c r="R186" s="3" t="s">
        <v>200</v>
      </c>
      <c r="S186" s="3" t="s">
        <v>972</v>
      </c>
      <c r="T186" s="3">
        <v>53</v>
      </c>
      <c r="U186" s="3" t="s">
        <v>43</v>
      </c>
      <c r="V186" s="3" t="s">
        <v>202</v>
      </c>
      <c r="W186" s="9"/>
      <c r="X186" s="9" t="s">
        <v>45</v>
      </c>
      <c r="Y186" s="9"/>
    </row>
    <row r="187" spans="1:25" ht="86" customHeight="1">
      <c r="A187" s="3" t="s">
        <v>973</v>
      </c>
      <c r="B187" s="3" t="s">
        <v>974</v>
      </c>
      <c r="C187" s="3" t="s">
        <v>975</v>
      </c>
      <c r="D187" s="3" t="s">
        <v>974</v>
      </c>
      <c r="E187" s="3" t="s">
        <v>30</v>
      </c>
      <c r="F187" s="3" t="s">
        <v>968</v>
      </c>
      <c r="G187" s="3" t="s">
        <v>969</v>
      </c>
      <c r="H187" s="3" t="s">
        <v>76</v>
      </c>
      <c r="I187" s="3" t="s">
        <v>34</v>
      </c>
      <c r="J187" s="3" t="s">
        <v>970</v>
      </c>
      <c r="K187" s="3" t="s">
        <v>971</v>
      </c>
      <c r="L187" s="3" t="s">
        <v>49</v>
      </c>
      <c r="M187" s="3" t="s">
        <v>976</v>
      </c>
      <c r="N187" s="3" t="s">
        <v>38</v>
      </c>
      <c r="O187" s="3" t="s">
        <v>39</v>
      </c>
      <c r="P187" s="3" t="s">
        <v>40</v>
      </c>
      <c r="Q187" s="6">
        <v>0.84</v>
      </c>
      <c r="R187" s="3" t="s">
        <v>41</v>
      </c>
      <c r="S187" s="3" t="s">
        <v>977</v>
      </c>
      <c r="T187" s="3">
        <v>174</v>
      </c>
      <c r="U187" s="3" t="s">
        <v>43</v>
      </c>
      <c r="V187" s="3" t="s">
        <v>44</v>
      </c>
      <c r="W187" s="9"/>
      <c r="X187" s="9" t="s">
        <v>45</v>
      </c>
      <c r="Y187" s="9"/>
    </row>
    <row r="188" spans="1:25" ht="86" customHeight="1">
      <c r="A188" s="3" t="s">
        <v>978</v>
      </c>
      <c r="B188" s="3" t="s">
        <v>979</v>
      </c>
      <c r="C188" s="3" t="s">
        <v>980</v>
      </c>
      <c r="D188" s="3" t="s">
        <v>979</v>
      </c>
      <c r="E188" s="3" t="s">
        <v>30</v>
      </c>
      <c r="F188" s="3" t="s">
        <v>968</v>
      </c>
      <c r="G188" s="3" t="s">
        <v>969</v>
      </c>
      <c r="H188" s="3" t="s">
        <v>33</v>
      </c>
      <c r="I188" s="3" t="s">
        <v>970</v>
      </c>
      <c r="J188" s="3" t="s">
        <v>970</v>
      </c>
      <c r="K188" s="3" t="s">
        <v>981</v>
      </c>
      <c r="L188" s="3" t="s">
        <v>50</v>
      </c>
      <c r="M188" s="3" t="s">
        <v>106</v>
      </c>
      <c r="N188" s="3" t="s">
        <v>38</v>
      </c>
      <c r="O188" s="3" t="s">
        <v>51</v>
      </c>
      <c r="P188" s="3" t="s">
        <v>40</v>
      </c>
      <c r="Q188" s="6">
        <v>0.78</v>
      </c>
      <c r="R188" s="3" t="s">
        <v>41</v>
      </c>
      <c r="S188" s="3" t="s">
        <v>982</v>
      </c>
      <c r="T188" s="3">
        <v>156</v>
      </c>
      <c r="U188" s="3" t="s">
        <v>43</v>
      </c>
      <c r="V188" s="3" t="s">
        <v>44</v>
      </c>
      <c r="W188" s="9"/>
      <c r="X188" s="9" t="s">
        <v>45</v>
      </c>
      <c r="Y188" s="9"/>
    </row>
    <row r="189" spans="1:25" ht="86" customHeight="1">
      <c r="A189" s="3" t="s">
        <v>983</v>
      </c>
      <c r="B189" s="3" t="s">
        <v>984</v>
      </c>
      <c r="C189" s="3" t="s">
        <v>985</v>
      </c>
      <c r="D189" s="3" t="s">
        <v>984</v>
      </c>
      <c r="E189" s="3" t="s">
        <v>30</v>
      </c>
      <c r="F189" s="3" t="s">
        <v>968</v>
      </c>
      <c r="G189" s="3" t="s">
        <v>969</v>
      </c>
      <c r="H189" s="3" t="s">
        <v>76</v>
      </c>
      <c r="I189" s="3" t="s">
        <v>34</v>
      </c>
      <c r="J189" s="3" t="s">
        <v>970</v>
      </c>
      <c r="K189" s="3" t="s">
        <v>986</v>
      </c>
      <c r="L189" s="3" t="s">
        <v>57</v>
      </c>
      <c r="M189" s="3"/>
      <c r="N189" s="3" t="s">
        <v>213</v>
      </c>
      <c r="O189" s="3" t="s">
        <v>39</v>
      </c>
      <c r="P189" s="3" t="s">
        <v>199</v>
      </c>
      <c r="Q189" s="6">
        <v>0.92</v>
      </c>
      <c r="R189" s="3" t="s">
        <v>200</v>
      </c>
      <c r="S189" s="3" t="s">
        <v>987</v>
      </c>
      <c r="T189" s="3">
        <v>30</v>
      </c>
      <c r="U189" s="3" t="s">
        <v>43</v>
      </c>
      <c r="V189" s="3" t="s">
        <v>202</v>
      </c>
      <c r="W189" s="9"/>
      <c r="X189" s="9" t="s">
        <v>45</v>
      </c>
      <c r="Y189" s="9"/>
    </row>
    <row r="190" spans="1:25" ht="86" customHeight="1">
      <c r="A190" s="3" t="s">
        <v>988</v>
      </c>
      <c r="B190" s="3" t="s">
        <v>989</v>
      </c>
      <c r="C190" s="3" t="s">
        <v>990</v>
      </c>
      <c r="D190" s="3" t="s">
        <v>989</v>
      </c>
      <c r="E190" s="3" t="s">
        <v>30</v>
      </c>
      <c r="F190" s="3" t="s">
        <v>968</v>
      </c>
      <c r="G190" s="3" t="s">
        <v>969</v>
      </c>
      <c r="H190" s="3" t="s">
        <v>76</v>
      </c>
      <c r="I190" s="3" t="s">
        <v>34</v>
      </c>
      <c r="J190" s="3" t="s">
        <v>970</v>
      </c>
      <c r="K190" s="3" t="s">
        <v>991</v>
      </c>
      <c r="L190" s="3" t="s">
        <v>50</v>
      </c>
      <c r="M190" s="3"/>
      <c r="N190" s="3" t="s">
        <v>100</v>
      </c>
      <c r="O190" s="3" t="s">
        <v>51</v>
      </c>
      <c r="P190" s="3" t="s">
        <v>199</v>
      </c>
      <c r="Q190" s="6">
        <v>0.92</v>
      </c>
      <c r="R190" s="3" t="s">
        <v>200</v>
      </c>
      <c r="S190" s="3" t="s">
        <v>992</v>
      </c>
      <c r="T190" s="3">
        <v>50</v>
      </c>
      <c r="U190" s="3" t="s">
        <v>43</v>
      </c>
      <c r="V190" s="3" t="s">
        <v>202</v>
      </c>
      <c r="W190" s="9"/>
      <c r="X190" s="9" t="s">
        <v>45</v>
      </c>
      <c r="Y190" s="9"/>
    </row>
    <row r="191" spans="1:25" ht="86" customHeight="1">
      <c r="A191" s="3" t="s">
        <v>993</v>
      </c>
      <c r="B191" s="3" t="s">
        <v>994</v>
      </c>
      <c r="C191" s="3" t="s">
        <v>995</v>
      </c>
      <c r="D191" s="3" t="s">
        <v>994</v>
      </c>
      <c r="E191" s="3" t="s">
        <v>30</v>
      </c>
      <c r="F191" s="3" t="s">
        <v>968</v>
      </c>
      <c r="G191" s="3" t="s">
        <v>969</v>
      </c>
      <c r="H191" s="3" t="s">
        <v>76</v>
      </c>
      <c r="I191" s="3" t="s">
        <v>34</v>
      </c>
      <c r="J191" s="3" t="s">
        <v>970</v>
      </c>
      <c r="K191" s="3" t="s">
        <v>996</v>
      </c>
      <c r="L191" s="3" t="s">
        <v>71</v>
      </c>
      <c r="M191" s="3" t="s">
        <v>934</v>
      </c>
      <c r="N191" s="3" t="s">
        <v>100</v>
      </c>
      <c r="O191" s="3" t="s">
        <v>51</v>
      </c>
      <c r="P191" s="3" t="s">
        <v>199</v>
      </c>
      <c r="Q191" s="6">
        <v>0.92</v>
      </c>
      <c r="R191" s="3" t="s">
        <v>200</v>
      </c>
      <c r="S191" s="3" t="s">
        <v>997</v>
      </c>
      <c r="T191" s="3">
        <v>46</v>
      </c>
      <c r="U191" s="3" t="s">
        <v>43</v>
      </c>
      <c r="V191" s="3" t="s">
        <v>202</v>
      </c>
      <c r="W191" s="9"/>
      <c r="X191" s="9" t="s">
        <v>45</v>
      </c>
      <c r="Y191" s="9"/>
    </row>
    <row r="192" spans="1:25" ht="86" customHeight="1">
      <c r="A192" s="3" t="s">
        <v>998</v>
      </c>
      <c r="B192" s="3" t="s">
        <v>999</v>
      </c>
      <c r="C192" s="3" t="s">
        <v>1000</v>
      </c>
      <c r="D192" s="3" t="s">
        <v>999</v>
      </c>
      <c r="E192" s="3" t="s">
        <v>30</v>
      </c>
      <c r="F192" s="3" t="s">
        <v>968</v>
      </c>
      <c r="G192" s="3" t="s">
        <v>969</v>
      </c>
      <c r="H192" s="3" t="s">
        <v>76</v>
      </c>
      <c r="I192" s="3" t="s">
        <v>34</v>
      </c>
      <c r="J192" s="3" t="s">
        <v>970</v>
      </c>
      <c r="K192" s="3" t="s">
        <v>996</v>
      </c>
      <c r="L192" s="3" t="s">
        <v>49</v>
      </c>
      <c r="M192" s="3" t="s">
        <v>62</v>
      </c>
      <c r="N192" s="3" t="s">
        <v>100</v>
      </c>
      <c r="O192" s="3" t="s">
        <v>51</v>
      </c>
      <c r="P192" s="3" t="s">
        <v>199</v>
      </c>
      <c r="Q192" s="6">
        <v>0.92</v>
      </c>
      <c r="R192" s="3" t="s">
        <v>200</v>
      </c>
      <c r="S192" s="3" t="s">
        <v>1001</v>
      </c>
      <c r="T192" s="3">
        <v>34</v>
      </c>
      <c r="U192" s="3" t="s">
        <v>43</v>
      </c>
      <c r="V192" s="3" t="s">
        <v>202</v>
      </c>
      <c r="W192" s="9"/>
      <c r="X192" s="9" t="s">
        <v>45</v>
      </c>
      <c r="Y192" s="9"/>
    </row>
    <row r="193" spans="1:25" ht="86" customHeight="1">
      <c r="A193" s="3" t="s">
        <v>1002</v>
      </c>
      <c r="B193" s="3" t="s">
        <v>1003</v>
      </c>
      <c r="C193" s="3" t="s">
        <v>1004</v>
      </c>
      <c r="D193" s="3" t="s">
        <v>1003</v>
      </c>
      <c r="E193" s="3" t="s">
        <v>30</v>
      </c>
      <c r="F193" s="3" t="s">
        <v>968</v>
      </c>
      <c r="G193" s="3" t="s">
        <v>969</v>
      </c>
      <c r="H193" s="3" t="s">
        <v>76</v>
      </c>
      <c r="I193" s="3" t="s">
        <v>34</v>
      </c>
      <c r="J193" s="3" t="s">
        <v>970</v>
      </c>
      <c r="K193" s="3" t="s">
        <v>1005</v>
      </c>
      <c r="L193" s="3" t="s">
        <v>49</v>
      </c>
      <c r="M193" s="3" t="s">
        <v>36</v>
      </c>
      <c r="N193" s="3" t="s">
        <v>100</v>
      </c>
      <c r="O193" s="3" t="s">
        <v>51</v>
      </c>
      <c r="P193" s="3" t="s">
        <v>199</v>
      </c>
      <c r="Q193" s="6">
        <v>0.92</v>
      </c>
      <c r="R193" s="3" t="s">
        <v>200</v>
      </c>
      <c r="S193" s="3" t="s">
        <v>1006</v>
      </c>
      <c r="T193" s="3">
        <v>51</v>
      </c>
      <c r="U193" s="3" t="s">
        <v>43</v>
      </c>
      <c r="V193" s="3" t="s">
        <v>202</v>
      </c>
      <c r="W193" s="9"/>
      <c r="X193" s="9" t="s">
        <v>45</v>
      </c>
      <c r="Y193" s="9"/>
    </row>
    <row r="194" spans="1:25" ht="86" customHeight="1">
      <c r="A194" s="3" t="s">
        <v>1007</v>
      </c>
      <c r="B194" s="3" t="s">
        <v>1008</v>
      </c>
      <c r="C194" s="3" t="s">
        <v>1009</v>
      </c>
      <c r="D194" s="3" t="s">
        <v>1008</v>
      </c>
      <c r="E194" s="3" t="s">
        <v>30</v>
      </c>
      <c r="F194" s="3" t="s">
        <v>968</v>
      </c>
      <c r="G194" s="3" t="s">
        <v>969</v>
      </c>
      <c r="H194" s="3" t="s">
        <v>76</v>
      </c>
      <c r="I194" s="3" t="s">
        <v>34</v>
      </c>
      <c r="J194" s="3" t="s">
        <v>970</v>
      </c>
      <c r="K194" s="3" t="s">
        <v>1010</v>
      </c>
      <c r="L194" s="3" t="s">
        <v>49</v>
      </c>
      <c r="M194" s="3" t="s">
        <v>934</v>
      </c>
      <c r="N194" s="3" t="s">
        <v>38</v>
      </c>
      <c r="O194" s="3" t="s">
        <v>51</v>
      </c>
      <c r="P194" s="3" t="s">
        <v>40</v>
      </c>
      <c r="Q194" s="6">
        <v>0.84</v>
      </c>
      <c r="R194" s="3" t="s">
        <v>41</v>
      </c>
      <c r="S194" s="3" t="s">
        <v>1011</v>
      </c>
      <c r="T194" s="3">
        <v>156</v>
      </c>
      <c r="U194" s="3" t="s">
        <v>43</v>
      </c>
      <c r="V194" s="3" t="s">
        <v>44</v>
      </c>
      <c r="W194" s="9"/>
      <c r="X194" s="9" t="s">
        <v>45</v>
      </c>
      <c r="Y194" s="9"/>
    </row>
    <row r="195" spans="1:25" ht="86" customHeight="1">
      <c r="A195" s="3" t="s">
        <v>1012</v>
      </c>
      <c r="B195" s="3" t="s">
        <v>1013</v>
      </c>
      <c r="C195" s="3" t="s">
        <v>1014</v>
      </c>
      <c r="D195" s="3" t="s">
        <v>1013</v>
      </c>
      <c r="E195" s="3" t="s">
        <v>30</v>
      </c>
      <c r="F195" s="3" t="s">
        <v>968</v>
      </c>
      <c r="G195" s="3" t="s">
        <v>969</v>
      </c>
      <c r="H195" s="3" t="s">
        <v>76</v>
      </c>
      <c r="I195" s="3" t="s">
        <v>34</v>
      </c>
      <c r="J195" s="3" t="s">
        <v>970</v>
      </c>
      <c r="K195" s="3" t="s">
        <v>1015</v>
      </c>
      <c r="L195" s="3" t="s">
        <v>49</v>
      </c>
      <c r="M195" s="3"/>
      <c r="N195" s="3" t="s">
        <v>100</v>
      </c>
      <c r="O195" s="3" t="s">
        <v>51</v>
      </c>
      <c r="P195" s="3" t="s">
        <v>199</v>
      </c>
      <c r="Q195" s="6">
        <v>0.92</v>
      </c>
      <c r="R195" s="3" t="s">
        <v>200</v>
      </c>
      <c r="S195" s="3" t="s">
        <v>1016</v>
      </c>
      <c r="T195" s="3">
        <v>35</v>
      </c>
      <c r="U195" s="3" t="s">
        <v>43</v>
      </c>
      <c r="V195" s="3" t="s">
        <v>202</v>
      </c>
      <c r="W195" s="9"/>
      <c r="X195" s="9" t="s">
        <v>45</v>
      </c>
      <c r="Y195" s="9"/>
    </row>
    <row r="196" spans="1:25" ht="86" customHeight="1">
      <c r="A196" s="3" t="s">
        <v>1017</v>
      </c>
      <c r="B196" s="3" t="s">
        <v>1018</v>
      </c>
      <c r="C196" s="3" t="s">
        <v>1019</v>
      </c>
      <c r="D196" s="3" t="s">
        <v>1018</v>
      </c>
      <c r="E196" s="3" t="s">
        <v>30</v>
      </c>
      <c r="F196" s="3" t="s">
        <v>968</v>
      </c>
      <c r="G196" s="3" t="s">
        <v>969</v>
      </c>
      <c r="H196" s="3" t="s">
        <v>76</v>
      </c>
      <c r="I196" s="3" t="s">
        <v>34</v>
      </c>
      <c r="J196" s="3" t="s">
        <v>970</v>
      </c>
      <c r="K196" s="3" t="s">
        <v>1020</v>
      </c>
      <c r="L196" s="3" t="s">
        <v>62</v>
      </c>
      <c r="M196" s="3" t="s">
        <v>49</v>
      </c>
      <c r="N196" s="3" t="s">
        <v>213</v>
      </c>
      <c r="O196" s="3" t="s">
        <v>39</v>
      </c>
      <c r="P196" s="3" t="s">
        <v>199</v>
      </c>
      <c r="Q196" s="6">
        <v>0.84</v>
      </c>
      <c r="R196" s="3" t="s">
        <v>200</v>
      </c>
      <c r="S196" s="3" t="s">
        <v>1021</v>
      </c>
      <c r="T196" s="3">
        <v>53</v>
      </c>
      <c r="U196" s="3" t="s">
        <v>43</v>
      </c>
      <c r="V196" s="3" t="s">
        <v>202</v>
      </c>
      <c r="W196" s="9"/>
      <c r="X196" s="9" t="s">
        <v>45</v>
      </c>
      <c r="Y196" s="9"/>
    </row>
    <row r="197" spans="1:25" ht="86" customHeight="1">
      <c r="A197" s="3" t="s">
        <v>1022</v>
      </c>
      <c r="B197" s="3" t="s">
        <v>1023</v>
      </c>
      <c r="C197" s="3" t="s">
        <v>1024</v>
      </c>
      <c r="D197" s="3" t="s">
        <v>1023</v>
      </c>
      <c r="E197" s="3" t="s">
        <v>30</v>
      </c>
      <c r="F197" s="3" t="s">
        <v>968</v>
      </c>
      <c r="G197" s="3" t="s">
        <v>969</v>
      </c>
      <c r="H197" s="3" t="s">
        <v>76</v>
      </c>
      <c r="I197" s="3" t="s">
        <v>34</v>
      </c>
      <c r="J197" s="3" t="s">
        <v>970</v>
      </c>
      <c r="K197" s="3" t="s">
        <v>1025</v>
      </c>
      <c r="L197" s="3" t="s">
        <v>49</v>
      </c>
      <c r="M197" s="3" t="s">
        <v>62</v>
      </c>
      <c r="N197" s="3" t="s">
        <v>100</v>
      </c>
      <c r="O197" s="3" t="s">
        <v>51</v>
      </c>
      <c r="P197" s="3" t="s">
        <v>199</v>
      </c>
      <c r="Q197" s="6">
        <v>0.92</v>
      </c>
      <c r="R197" s="3" t="s">
        <v>200</v>
      </c>
      <c r="S197" s="3" t="s">
        <v>1026</v>
      </c>
      <c r="T197" s="3">
        <v>70</v>
      </c>
      <c r="U197" s="3" t="s">
        <v>43</v>
      </c>
      <c r="V197" s="3" t="s">
        <v>202</v>
      </c>
      <c r="W197" s="9"/>
      <c r="X197" s="9" t="s">
        <v>45</v>
      </c>
      <c r="Y197" s="9"/>
    </row>
    <row r="198" spans="1:25" ht="86" customHeight="1">
      <c r="A198" s="3" t="s">
        <v>1027</v>
      </c>
      <c r="B198" s="3" t="s">
        <v>1028</v>
      </c>
      <c r="C198" s="3" t="s">
        <v>1029</v>
      </c>
      <c r="D198" s="3" t="s">
        <v>1028</v>
      </c>
      <c r="E198" s="3" t="s">
        <v>30</v>
      </c>
      <c r="F198" s="3" t="s">
        <v>968</v>
      </c>
      <c r="G198" s="3" t="s">
        <v>969</v>
      </c>
      <c r="H198" s="3" t="s">
        <v>76</v>
      </c>
      <c r="I198" s="3" t="s">
        <v>34</v>
      </c>
      <c r="J198" s="3" t="s">
        <v>970</v>
      </c>
      <c r="K198" s="3" t="s">
        <v>1030</v>
      </c>
      <c r="L198" s="3" t="s">
        <v>62</v>
      </c>
      <c r="M198" s="3"/>
      <c r="N198" s="3" t="s">
        <v>213</v>
      </c>
      <c r="O198" s="3" t="s">
        <v>39</v>
      </c>
      <c r="P198" s="3" t="s">
        <v>199</v>
      </c>
      <c r="Q198" s="6">
        <v>0.84</v>
      </c>
      <c r="R198" s="3" t="s">
        <v>200</v>
      </c>
      <c r="S198" s="3" t="s">
        <v>1031</v>
      </c>
      <c r="T198" s="3">
        <v>78</v>
      </c>
      <c r="U198" s="3" t="s">
        <v>43</v>
      </c>
      <c r="V198" s="3" t="s">
        <v>202</v>
      </c>
      <c r="W198" s="9"/>
      <c r="X198" s="9" t="s">
        <v>45</v>
      </c>
      <c r="Y198" s="9"/>
    </row>
    <row r="199" spans="1:25" ht="86" customHeight="1">
      <c r="A199" s="3" t="s">
        <v>1032</v>
      </c>
      <c r="B199" s="3" t="s">
        <v>1033</v>
      </c>
      <c r="C199" s="3" t="s">
        <v>1034</v>
      </c>
      <c r="D199" s="3" t="s">
        <v>1033</v>
      </c>
      <c r="E199" s="3" t="s">
        <v>30</v>
      </c>
      <c r="F199" s="3" t="s">
        <v>968</v>
      </c>
      <c r="G199" s="3" t="s">
        <v>969</v>
      </c>
      <c r="H199" s="3" t="s">
        <v>76</v>
      </c>
      <c r="I199" s="3" t="s">
        <v>34</v>
      </c>
      <c r="J199" s="3" t="s">
        <v>970</v>
      </c>
      <c r="K199" s="3" t="s">
        <v>1035</v>
      </c>
      <c r="L199" s="3" t="s">
        <v>71</v>
      </c>
      <c r="M199" s="3" t="s">
        <v>62</v>
      </c>
      <c r="N199" s="3" t="s">
        <v>100</v>
      </c>
      <c r="O199" s="3" t="s">
        <v>51</v>
      </c>
      <c r="P199" s="3" t="s">
        <v>199</v>
      </c>
      <c r="Q199" s="6">
        <v>0.92</v>
      </c>
      <c r="R199" s="3" t="s">
        <v>200</v>
      </c>
      <c r="S199" s="3" t="s">
        <v>1036</v>
      </c>
      <c r="T199" s="3">
        <v>60</v>
      </c>
      <c r="U199" s="3" t="s">
        <v>43</v>
      </c>
      <c r="V199" s="3" t="s">
        <v>202</v>
      </c>
      <c r="W199" s="9"/>
      <c r="X199" s="9" t="s">
        <v>45</v>
      </c>
      <c r="Y199" s="9"/>
    </row>
    <row r="200" spans="1:25" ht="86" customHeight="1">
      <c r="A200" s="3" t="s">
        <v>1037</v>
      </c>
      <c r="B200" s="3" t="s">
        <v>1038</v>
      </c>
      <c r="C200" s="3" t="s">
        <v>1039</v>
      </c>
      <c r="D200" s="3" t="s">
        <v>1038</v>
      </c>
      <c r="E200" s="3" t="s">
        <v>30</v>
      </c>
      <c r="F200" s="3" t="s">
        <v>968</v>
      </c>
      <c r="G200" s="3" t="s">
        <v>969</v>
      </c>
      <c r="H200" s="3" t="s">
        <v>76</v>
      </c>
      <c r="I200" s="3" t="s">
        <v>34</v>
      </c>
      <c r="J200" s="3" t="s">
        <v>970</v>
      </c>
      <c r="K200" s="3" t="s">
        <v>1040</v>
      </c>
      <c r="L200" s="3" t="s">
        <v>71</v>
      </c>
      <c r="M200" s="3"/>
      <c r="N200" s="3" t="s">
        <v>100</v>
      </c>
      <c r="O200" s="3" t="s">
        <v>51</v>
      </c>
      <c r="P200" s="3" t="s">
        <v>199</v>
      </c>
      <c r="Q200" s="6">
        <v>0.92</v>
      </c>
      <c r="R200" s="3" t="s">
        <v>200</v>
      </c>
      <c r="S200" s="3" t="s">
        <v>1041</v>
      </c>
      <c r="T200" s="3">
        <v>30</v>
      </c>
      <c r="U200" s="3" t="s">
        <v>43</v>
      </c>
      <c r="V200" s="3" t="s">
        <v>202</v>
      </c>
      <c r="W200" s="9"/>
      <c r="X200" s="9" t="s">
        <v>45</v>
      </c>
      <c r="Y200" s="9"/>
    </row>
    <row r="201" spans="1:25" ht="86" customHeight="1">
      <c r="A201" s="3" t="s">
        <v>1042</v>
      </c>
      <c r="B201" s="3" t="s">
        <v>1043</v>
      </c>
      <c r="C201" s="3" t="s">
        <v>1044</v>
      </c>
      <c r="D201" s="3" t="s">
        <v>1043</v>
      </c>
      <c r="E201" s="3" t="s">
        <v>30</v>
      </c>
      <c r="F201" s="3" t="s">
        <v>968</v>
      </c>
      <c r="G201" s="3" t="s">
        <v>969</v>
      </c>
      <c r="H201" s="3" t="s">
        <v>76</v>
      </c>
      <c r="I201" s="3" t="s">
        <v>34</v>
      </c>
      <c r="J201" s="3" t="s">
        <v>970</v>
      </c>
      <c r="K201" s="3" t="s">
        <v>1045</v>
      </c>
      <c r="L201" s="3" t="s">
        <v>71</v>
      </c>
      <c r="M201" s="3" t="s">
        <v>508</v>
      </c>
      <c r="N201" s="3" t="s">
        <v>38</v>
      </c>
      <c r="O201" s="3" t="s">
        <v>39</v>
      </c>
      <c r="P201" s="3" t="s">
        <v>40</v>
      </c>
      <c r="Q201" s="6">
        <v>0.84</v>
      </c>
      <c r="R201" s="3" t="s">
        <v>41</v>
      </c>
      <c r="S201" s="3" t="s">
        <v>1046</v>
      </c>
      <c r="T201" s="3">
        <v>301</v>
      </c>
      <c r="U201" s="3" t="s">
        <v>43</v>
      </c>
      <c r="V201" s="3" t="s">
        <v>44</v>
      </c>
      <c r="W201" s="9"/>
      <c r="X201" s="9" t="s">
        <v>45</v>
      </c>
      <c r="Y201" s="9"/>
    </row>
    <row r="202" spans="1:25" ht="86" customHeight="1">
      <c r="A202" s="3" t="s">
        <v>1047</v>
      </c>
      <c r="B202" s="3" t="s">
        <v>1048</v>
      </c>
      <c r="C202" s="3" t="s">
        <v>1049</v>
      </c>
      <c r="D202" s="3" t="s">
        <v>1048</v>
      </c>
      <c r="E202" s="3" t="s">
        <v>30</v>
      </c>
      <c r="F202" s="3" t="s">
        <v>968</v>
      </c>
      <c r="G202" s="3" t="s">
        <v>969</v>
      </c>
      <c r="H202" s="3" t="s">
        <v>76</v>
      </c>
      <c r="I202" s="3" t="s">
        <v>34</v>
      </c>
      <c r="J202" s="3" t="s">
        <v>970</v>
      </c>
      <c r="K202" s="3" t="s">
        <v>1050</v>
      </c>
      <c r="L202" s="3" t="s">
        <v>71</v>
      </c>
      <c r="M202" s="3" t="s">
        <v>508</v>
      </c>
      <c r="N202" s="3" t="s">
        <v>38</v>
      </c>
      <c r="O202" s="3" t="s">
        <v>39</v>
      </c>
      <c r="P202" s="3" t="s">
        <v>40</v>
      </c>
      <c r="Q202" s="6">
        <v>0.84</v>
      </c>
      <c r="R202" s="3" t="s">
        <v>41</v>
      </c>
      <c r="S202" s="3" t="s">
        <v>1051</v>
      </c>
      <c r="T202" s="3">
        <v>282</v>
      </c>
      <c r="U202" s="3" t="s">
        <v>43</v>
      </c>
      <c r="V202" s="3" t="s">
        <v>44</v>
      </c>
      <c r="W202" s="9"/>
      <c r="X202" s="9" t="s">
        <v>45</v>
      </c>
      <c r="Y202" s="9"/>
    </row>
    <row r="203" spans="1:25" ht="86" customHeight="1">
      <c r="A203" s="3" t="s">
        <v>1052</v>
      </c>
      <c r="B203" s="3" t="s">
        <v>1053</v>
      </c>
      <c r="C203" s="3" t="s">
        <v>1054</v>
      </c>
      <c r="D203" s="3" t="s">
        <v>1053</v>
      </c>
      <c r="E203" s="3" t="s">
        <v>30</v>
      </c>
      <c r="F203" s="3" t="s">
        <v>968</v>
      </c>
      <c r="G203" s="3" t="s">
        <v>969</v>
      </c>
      <c r="H203" s="3" t="s">
        <v>76</v>
      </c>
      <c r="I203" s="3" t="s">
        <v>34</v>
      </c>
      <c r="J203" s="3" t="s">
        <v>970</v>
      </c>
      <c r="K203" s="3" t="s">
        <v>1055</v>
      </c>
      <c r="L203" s="3" t="s">
        <v>50</v>
      </c>
      <c r="M203" s="3"/>
      <c r="N203" s="3" t="s">
        <v>213</v>
      </c>
      <c r="O203" s="3" t="s">
        <v>39</v>
      </c>
      <c r="P203" s="3" t="s">
        <v>199</v>
      </c>
      <c r="Q203" s="6">
        <v>0.92</v>
      </c>
      <c r="R203" s="3" t="s">
        <v>200</v>
      </c>
      <c r="S203" s="3" t="s">
        <v>1056</v>
      </c>
      <c r="T203" s="3">
        <v>45</v>
      </c>
      <c r="U203" s="3" t="s">
        <v>43</v>
      </c>
      <c r="V203" s="3" t="s">
        <v>202</v>
      </c>
      <c r="W203" s="9"/>
      <c r="X203" s="9" t="s">
        <v>45</v>
      </c>
      <c r="Y203" s="9"/>
    </row>
    <row r="204" spans="1:25" ht="86" customHeight="1">
      <c r="A204" s="3" t="s">
        <v>1057</v>
      </c>
      <c r="B204" s="3" t="s">
        <v>1058</v>
      </c>
      <c r="C204" s="3" t="s">
        <v>1059</v>
      </c>
      <c r="D204" s="3" t="s">
        <v>1058</v>
      </c>
      <c r="E204" s="3" t="s">
        <v>30</v>
      </c>
      <c r="F204" s="3" t="s">
        <v>968</v>
      </c>
      <c r="G204" s="3" t="s">
        <v>969</v>
      </c>
      <c r="H204" s="3" t="s">
        <v>76</v>
      </c>
      <c r="I204" s="3" t="s">
        <v>34</v>
      </c>
      <c r="J204" s="3" t="s">
        <v>970</v>
      </c>
      <c r="K204" s="3" t="s">
        <v>1055</v>
      </c>
      <c r="L204" s="3" t="s">
        <v>50</v>
      </c>
      <c r="M204" s="3"/>
      <c r="N204" s="3" t="s">
        <v>213</v>
      </c>
      <c r="O204" s="3" t="s">
        <v>39</v>
      </c>
      <c r="P204" s="3" t="s">
        <v>199</v>
      </c>
      <c r="Q204" s="6">
        <v>0.84</v>
      </c>
      <c r="R204" s="3" t="s">
        <v>200</v>
      </c>
      <c r="S204" s="3" t="s">
        <v>1060</v>
      </c>
      <c r="T204" s="3">
        <v>6</v>
      </c>
      <c r="U204" s="3" t="s">
        <v>43</v>
      </c>
      <c r="V204" s="3" t="s">
        <v>202</v>
      </c>
      <c r="W204" s="9"/>
      <c r="X204" s="9" t="s">
        <v>45</v>
      </c>
      <c r="Y204" s="9"/>
    </row>
    <row r="205" spans="1:25" ht="86" customHeight="1">
      <c r="A205" s="3" t="s">
        <v>1061</v>
      </c>
      <c r="B205" s="3" t="s">
        <v>1062</v>
      </c>
      <c r="C205" s="3" t="s">
        <v>1063</v>
      </c>
      <c r="D205" s="3" t="s">
        <v>1062</v>
      </c>
      <c r="E205" s="3" t="s">
        <v>30</v>
      </c>
      <c r="F205" s="3" t="s">
        <v>968</v>
      </c>
      <c r="G205" s="3" t="s">
        <v>969</v>
      </c>
      <c r="H205" s="3" t="s">
        <v>76</v>
      </c>
      <c r="I205" s="3" t="s">
        <v>34</v>
      </c>
      <c r="J205" s="3" t="s">
        <v>970</v>
      </c>
      <c r="K205" s="3" t="s">
        <v>1064</v>
      </c>
      <c r="L205" s="3" t="s">
        <v>71</v>
      </c>
      <c r="M205" s="3" t="s">
        <v>49</v>
      </c>
      <c r="N205" s="3" t="s">
        <v>100</v>
      </c>
      <c r="O205" s="3" t="s">
        <v>51</v>
      </c>
      <c r="P205" s="3" t="s">
        <v>199</v>
      </c>
      <c r="Q205" s="6">
        <v>0.92</v>
      </c>
      <c r="R205" s="3" t="s">
        <v>200</v>
      </c>
      <c r="S205" s="3" t="s">
        <v>1065</v>
      </c>
      <c r="T205" s="3">
        <v>73</v>
      </c>
      <c r="U205" s="3" t="s">
        <v>43</v>
      </c>
      <c r="V205" s="3" t="s">
        <v>202</v>
      </c>
      <c r="W205" s="9"/>
      <c r="X205" s="9" t="s">
        <v>45</v>
      </c>
      <c r="Y205" s="9"/>
    </row>
    <row r="206" spans="1:25" ht="86" customHeight="1">
      <c r="A206" s="3" t="s">
        <v>1066</v>
      </c>
      <c r="B206" s="3" t="s">
        <v>1067</v>
      </c>
      <c r="C206" s="3" t="s">
        <v>1068</v>
      </c>
      <c r="D206" s="3" t="s">
        <v>1067</v>
      </c>
      <c r="E206" s="3" t="s">
        <v>30</v>
      </c>
      <c r="F206" s="3" t="s">
        <v>968</v>
      </c>
      <c r="G206" s="3" t="s">
        <v>969</v>
      </c>
      <c r="H206" s="3" t="s">
        <v>76</v>
      </c>
      <c r="I206" s="3" t="s">
        <v>34</v>
      </c>
      <c r="J206" s="3" t="s">
        <v>970</v>
      </c>
      <c r="K206" s="3" t="s">
        <v>1069</v>
      </c>
      <c r="L206" s="3" t="s">
        <v>49</v>
      </c>
      <c r="M206" s="3" t="s">
        <v>1070</v>
      </c>
      <c r="N206" s="3" t="s">
        <v>213</v>
      </c>
      <c r="O206" s="3" t="s">
        <v>39</v>
      </c>
      <c r="P206" s="3" t="s">
        <v>199</v>
      </c>
      <c r="Q206" s="6">
        <v>0.92</v>
      </c>
      <c r="R206" s="3" t="s">
        <v>200</v>
      </c>
      <c r="S206" s="3" t="s">
        <v>1071</v>
      </c>
      <c r="T206" s="3">
        <v>59</v>
      </c>
      <c r="U206" s="3" t="s">
        <v>43</v>
      </c>
      <c r="V206" s="3" t="s">
        <v>202</v>
      </c>
      <c r="W206" s="9"/>
      <c r="X206" s="9" t="s">
        <v>45</v>
      </c>
      <c r="Y206" s="9"/>
    </row>
    <row r="207" spans="1:25" ht="86" customHeight="1">
      <c r="A207" s="3" t="s">
        <v>1072</v>
      </c>
      <c r="B207" s="3" t="s">
        <v>1073</v>
      </c>
      <c r="C207" s="3" t="s">
        <v>1074</v>
      </c>
      <c r="D207" s="3" t="s">
        <v>1073</v>
      </c>
      <c r="E207" s="3" t="s">
        <v>30</v>
      </c>
      <c r="F207" s="3" t="s">
        <v>968</v>
      </c>
      <c r="G207" s="3" t="s">
        <v>969</v>
      </c>
      <c r="H207" s="3" t="s">
        <v>76</v>
      </c>
      <c r="I207" s="3" t="s">
        <v>34</v>
      </c>
      <c r="J207" s="3" t="s">
        <v>970</v>
      </c>
      <c r="K207" s="3" t="s">
        <v>1069</v>
      </c>
      <c r="L207" s="3" t="s">
        <v>36</v>
      </c>
      <c r="M207" s="3" t="s">
        <v>71</v>
      </c>
      <c r="N207" s="3" t="s">
        <v>213</v>
      </c>
      <c r="O207" s="3" t="s">
        <v>39</v>
      </c>
      <c r="P207" s="3" t="s">
        <v>199</v>
      </c>
      <c r="Q207" s="6">
        <v>0.92</v>
      </c>
      <c r="R207" s="3" t="s">
        <v>200</v>
      </c>
      <c r="S207" s="3" t="s">
        <v>1075</v>
      </c>
      <c r="T207" s="3">
        <v>46</v>
      </c>
      <c r="U207" s="3" t="s">
        <v>43</v>
      </c>
      <c r="V207" s="3" t="s">
        <v>202</v>
      </c>
      <c r="W207" s="9"/>
      <c r="X207" s="9" t="s">
        <v>45</v>
      </c>
      <c r="Y207" s="9"/>
    </row>
    <row r="208" spans="1:25" ht="86" customHeight="1">
      <c r="A208" s="3" t="s">
        <v>1076</v>
      </c>
      <c r="B208" s="3" t="s">
        <v>1077</v>
      </c>
      <c r="C208" s="3" t="s">
        <v>1078</v>
      </c>
      <c r="D208" s="3" t="s">
        <v>1077</v>
      </c>
      <c r="E208" s="3" t="s">
        <v>30</v>
      </c>
      <c r="F208" s="3" t="s">
        <v>968</v>
      </c>
      <c r="G208" s="3" t="s">
        <v>969</v>
      </c>
      <c r="H208" s="3" t="s">
        <v>76</v>
      </c>
      <c r="I208" s="3" t="s">
        <v>34</v>
      </c>
      <c r="J208" s="3" t="s">
        <v>970</v>
      </c>
      <c r="K208" s="3" t="s">
        <v>1079</v>
      </c>
      <c r="L208" s="3" t="s">
        <v>71</v>
      </c>
      <c r="M208" s="3"/>
      <c r="N208" s="3" t="s">
        <v>213</v>
      </c>
      <c r="O208" s="3" t="s">
        <v>39</v>
      </c>
      <c r="P208" s="3" t="s">
        <v>199</v>
      </c>
      <c r="Q208" s="6">
        <v>0.92</v>
      </c>
      <c r="R208" s="3" t="s">
        <v>200</v>
      </c>
      <c r="S208" s="3" t="s">
        <v>1080</v>
      </c>
      <c r="T208" s="3">
        <v>25</v>
      </c>
      <c r="U208" s="3" t="s">
        <v>43</v>
      </c>
      <c r="V208" s="3" t="s">
        <v>202</v>
      </c>
      <c r="W208" s="9"/>
      <c r="X208" s="9" t="s">
        <v>45</v>
      </c>
      <c r="Y208" s="9"/>
    </row>
    <row r="209" spans="1:25" ht="86" customHeight="1">
      <c r="A209" s="3" t="s">
        <v>1081</v>
      </c>
      <c r="B209" s="3" t="s">
        <v>1082</v>
      </c>
      <c r="C209" s="3" t="s">
        <v>1083</v>
      </c>
      <c r="D209" s="3" t="s">
        <v>1082</v>
      </c>
      <c r="E209" s="3" t="s">
        <v>30</v>
      </c>
      <c r="F209" s="3" t="s">
        <v>968</v>
      </c>
      <c r="G209" s="3" t="s">
        <v>969</v>
      </c>
      <c r="H209" s="3" t="s">
        <v>76</v>
      </c>
      <c r="I209" s="3" t="s">
        <v>34</v>
      </c>
      <c r="J209" s="3" t="s">
        <v>970</v>
      </c>
      <c r="K209" s="3" t="s">
        <v>1084</v>
      </c>
      <c r="L209" s="3" t="s">
        <v>50</v>
      </c>
      <c r="M209" s="3"/>
      <c r="N209" s="3" t="s">
        <v>213</v>
      </c>
      <c r="O209" s="3" t="s">
        <v>39</v>
      </c>
      <c r="P209" s="3" t="s">
        <v>199</v>
      </c>
      <c r="Q209" s="6">
        <v>0.92</v>
      </c>
      <c r="R209" s="3" t="s">
        <v>200</v>
      </c>
      <c r="S209" s="3" t="s">
        <v>1085</v>
      </c>
      <c r="T209" s="3">
        <v>37</v>
      </c>
      <c r="U209" s="3" t="s">
        <v>43</v>
      </c>
      <c r="V209" s="3" t="s">
        <v>202</v>
      </c>
      <c r="W209" s="9"/>
      <c r="X209" s="9" t="s">
        <v>45</v>
      </c>
      <c r="Y209" s="9"/>
    </row>
    <row r="210" spans="1:25" ht="86" customHeight="1">
      <c r="A210" s="3" t="s">
        <v>1086</v>
      </c>
      <c r="B210" s="3" t="s">
        <v>1087</v>
      </c>
      <c r="C210" s="3" t="s">
        <v>1088</v>
      </c>
      <c r="D210" s="3" t="s">
        <v>1089</v>
      </c>
      <c r="E210" s="3" t="s">
        <v>51</v>
      </c>
      <c r="F210" s="3" t="s">
        <v>968</v>
      </c>
      <c r="G210" s="3" t="s">
        <v>969</v>
      </c>
      <c r="H210" s="3" t="s">
        <v>76</v>
      </c>
      <c r="I210" s="3" t="s">
        <v>34</v>
      </c>
      <c r="J210" s="3" t="s">
        <v>970</v>
      </c>
      <c r="K210" s="3" t="s">
        <v>1090</v>
      </c>
      <c r="L210" s="3" t="s">
        <v>50</v>
      </c>
      <c r="M210" s="3"/>
      <c r="N210" s="3" t="s">
        <v>235</v>
      </c>
      <c r="O210" s="3" t="s">
        <v>39</v>
      </c>
      <c r="P210" s="3" t="s">
        <v>199</v>
      </c>
      <c r="Q210" s="6">
        <v>0.84</v>
      </c>
      <c r="R210" s="3" t="s">
        <v>200</v>
      </c>
      <c r="S210" s="3" t="s">
        <v>1091</v>
      </c>
      <c r="T210" s="3">
        <v>3</v>
      </c>
      <c r="U210" s="3" t="s">
        <v>43</v>
      </c>
      <c r="V210" s="3" t="s">
        <v>202</v>
      </c>
      <c r="W210" s="9"/>
      <c r="X210" s="9" t="s">
        <v>45</v>
      </c>
      <c r="Y210" s="9"/>
    </row>
    <row r="211" spans="1:25" ht="86" customHeight="1">
      <c r="A211" s="3" t="s">
        <v>1092</v>
      </c>
      <c r="B211" s="3" t="s">
        <v>1093</v>
      </c>
      <c r="C211" s="3" t="s">
        <v>1094</v>
      </c>
      <c r="D211" s="3" t="s">
        <v>1093</v>
      </c>
      <c r="E211" s="3" t="s">
        <v>30</v>
      </c>
      <c r="F211" s="3" t="s">
        <v>968</v>
      </c>
      <c r="G211" s="3" t="s">
        <v>969</v>
      </c>
      <c r="H211" s="3" t="s">
        <v>76</v>
      </c>
      <c r="I211" s="3" t="s">
        <v>34</v>
      </c>
      <c r="J211" s="3" t="s">
        <v>970</v>
      </c>
      <c r="K211" s="3" t="s">
        <v>1095</v>
      </c>
      <c r="L211" s="3" t="s">
        <v>36</v>
      </c>
      <c r="M211" s="3"/>
      <c r="N211" s="3" t="s">
        <v>38</v>
      </c>
      <c r="O211" s="3" t="s">
        <v>51</v>
      </c>
      <c r="P211" s="3" t="s">
        <v>40</v>
      </c>
      <c r="Q211" s="6">
        <v>0.84</v>
      </c>
      <c r="R211" s="3" t="s">
        <v>41</v>
      </c>
      <c r="S211" s="3" t="s">
        <v>1096</v>
      </c>
      <c r="T211" s="3">
        <v>53</v>
      </c>
      <c r="U211" s="3" t="s">
        <v>43</v>
      </c>
      <c r="V211" s="3" t="s">
        <v>44</v>
      </c>
      <c r="W211" s="9"/>
      <c r="X211" s="9" t="s">
        <v>45</v>
      </c>
      <c r="Y211" s="9"/>
    </row>
    <row r="212" spans="1:25" ht="86" customHeight="1">
      <c r="A212" s="3" t="s">
        <v>1097</v>
      </c>
      <c r="B212" s="3" t="s">
        <v>1098</v>
      </c>
      <c r="C212" s="3" t="s">
        <v>1099</v>
      </c>
      <c r="D212" s="3" t="s">
        <v>1098</v>
      </c>
      <c r="E212" s="3" t="s">
        <v>30</v>
      </c>
      <c r="F212" s="3" t="s">
        <v>968</v>
      </c>
      <c r="G212" s="3" t="s">
        <v>969</v>
      </c>
      <c r="H212" s="3" t="s">
        <v>76</v>
      </c>
      <c r="I212" s="3" t="s">
        <v>34</v>
      </c>
      <c r="J212" s="3" t="s">
        <v>970</v>
      </c>
      <c r="K212" s="3" t="s">
        <v>1100</v>
      </c>
      <c r="L212" s="3" t="s">
        <v>49</v>
      </c>
      <c r="M212" s="3"/>
      <c r="N212" s="3" t="s">
        <v>100</v>
      </c>
      <c r="O212" s="3" t="s">
        <v>51</v>
      </c>
      <c r="P212" s="3" t="s">
        <v>199</v>
      </c>
      <c r="Q212" s="6">
        <v>0.92</v>
      </c>
      <c r="R212" s="3" t="s">
        <v>200</v>
      </c>
      <c r="S212" s="3" t="s">
        <v>1101</v>
      </c>
      <c r="T212" s="3">
        <v>36</v>
      </c>
      <c r="U212" s="3" t="s">
        <v>43</v>
      </c>
      <c r="V212" s="3" t="s">
        <v>202</v>
      </c>
      <c r="W212" s="9"/>
      <c r="X212" s="9" t="s">
        <v>45</v>
      </c>
      <c r="Y212" s="9"/>
    </row>
    <row r="213" spans="1:25" ht="86" customHeight="1">
      <c r="A213" s="3" t="s">
        <v>1102</v>
      </c>
      <c r="B213" s="3" t="s">
        <v>1103</v>
      </c>
      <c r="C213" s="3" t="s">
        <v>1104</v>
      </c>
      <c r="D213" s="3" t="s">
        <v>1103</v>
      </c>
      <c r="E213" s="3" t="s">
        <v>30</v>
      </c>
      <c r="F213" s="3" t="s">
        <v>968</v>
      </c>
      <c r="G213" s="3" t="s">
        <v>969</v>
      </c>
      <c r="H213" s="3" t="s">
        <v>76</v>
      </c>
      <c r="I213" s="3" t="s">
        <v>34</v>
      </c>
      <c r="J213" s="3" t="s">
        <v>970</v>
      </c>
      <c r="K213" s="3" t="s">
        <v>1105</v>
      </c>
      <c r="L213" s="3" t="s">
        <v>36</v>
      </c>
      <c r="M213" s="3" t="s">
        <v>62</v>
      </c>
      <c r="N213" s="3" t="s">
        <v>38</v>
      </c>
      <c r="O213" s="3" t="s">
        <v>51</v>
      </c>
      <c r="P213" s="3" t="s">
        <v>40</v>
      </c>
      <c r="Q213" s="6">
        <v>0.84</v>
      </c>
      <c r="R213" s="3" t="s">
        <v>41</v>
      </c>
      <c r="S213" s="3" t="s">
        <v>1106</v>
      </c>
      <c r="T213" s="3">
        <v>56</v>
      </c>
      <c r="U213" s="3" t="s">
        <v>43</v>
      </c>
      <c r="V213" s="3" t="s">
        <v>44</v>
      </c>
      <c r="W213" s="9"/>
      <c r="X213" s="9" t="s">
        <v>45</v>
      </c>
      <c r="Y213" s="9"/>
    </row>
    <row r="214" spans="1:25" ht="86" customHeight="1">
      <c r="A214" s="3" t="s">
        <v>1107</v>
      </c>
      <c r="B214" s="3" t="s">
        <v>1108</v>
      </c>
      <c r="C214" s="3" t="s">
        <v>1109</v>
      </c>
      <c r="D214" s="3" t="s">
        <v>1108</v>
      </c>
      <c r="E214" s="3" t="s">
        <v>30</v>
      </c>
      <c r="F214" s="3" t="s">
        <v>968</v>
      </c>
      <c r="G214" s="3" t="s">
        <v>969</v>
      </c>
      <c r="H214" s="3" t="s">
        <v>76</v>
      </c>
      <c r="I214" s="3" t="s">
        <v>34</v>
      </c>
      <c r="J214" s="3" t="s">
        <v>970</v>
      </c>
      <c r="K214" s="3" t="s">
        <v>1110</v>
      </c>
      <c r="L214" s="3" t="s">
        <v>50</v>
      </c>
      <c r="M214" s="3" t="s">
        <v>62</v>
      </c>
      <c r="N214" s="3" t="s">
        <v>100</v>
      </c>
      <c r="O214" s="3" t="s">
        <v>51</v>
      </c>
      <c r="P214" s="3" t="s">
        <v>199</v>
      </c>
      <c r="Q214" s="6">
        <v>0.92</v>
      </c>
      <c r="R214" s="3" t="s">
        <v>200</v>
      </c>
      <c r="S214" s="3" t="s">
        <v>1111</v>
      </c>
      <c r="T214" s="3">
        <v>33</v>
      </c>
      <c r="U214" s="3" t="s">
        <v>43</v>
      </c>
      <c r="V214" s="3" t="s">
        <v>202</v>
      </c>
      <c r="W214" s="9"/>
      <c r="X214" s="9" t="s">
        <v>45</v>
      </c>
      <c r="Y214" s="9"/>
    </row>
    <row r="215" spans="1:25" ht="86" customHeight="1">
      <c r="A215" s="3" t="s">
        <v>1112</v>
      </c>
      <c r="B215" s="3" t="s">
        <v>1113</v>
      </c>
      <c r="C215" s="3" t="s">
        <v>1114</v>
      </c>
      <c r="D215" s="3" t="s">
        <v>1113</v>
      </c>
      <c r="E215" s="3" t="s">
        <v>30</v>
      </c>
      <c r="F215" s="3" t="s">
        <v>968</v>
      </c>
      <c r="G215" s="3" t="s">
        <v>969</v>
      </c>
      <c r="H215" s="3" t="s">
        <v>76</v>
      </c>
      <c r="I215" s="3" t="s">
        <v>34</v>
      </c>
      <c r="J215" s="3" t="s">
        <v>970</v>
      </c>
      <c r="K215" s="3" t="s">
        <v>1110</v>
      </c>
      <c r="L215" s="3" t="s">
        <v>57</v>
      </c>
      <c r="M215" s="3" t="s">
        <v>1115</v>
      </c>
      <c r="N215" s="3" t="s">
        <v>213</v>
      </c>
      <c r="O215" s="3" t="s">
        <v>39</v>
      </c>
      <c r="P215" s="3" t="s">
        <v>199</v>
      </c>
      <c r="Q215" s="6">
        <v>0.92</v>
      </c>
      <c r="R215" s="3" t="s">
        <v>200</v>
      </c>
      <c r="S215" s="3" t="s">
        <v>1116</v>
      </c>
      <c r="T215" s="3">
        <v>59</v>
      </c>
      <c r="U215" s="3" t="s">
        <v>43</v>
      </c>
      <c r="V215" s="3" t="s">
        <v>202</v>
      </c>
      <c r="W215" s="9"/>
      <c r="X215" s="9" t="s">
        <v>45</v>
      </c>
      <c r="Y215" s="9"/>
    </row>
    <row r="216" spans="1:25" ht="86" customHeight="1">
      <c r="A216" s="3" t="s">
        <v>1117</v>
      </c>
      <c r="B216" s="3" t="s">
        <v>1118</v>
      </c>
      <c r="C216" s="3" t="s">
        <v>1119</v>
      </c>
      <c r="D216" s="3" t="s">
        <v>1118</v>
      </c>
      <c r="E216" s="3" t="s">
        <v>30</v>
      </c>
      <c r="F216" s="3" t="s">
        <v>968</v>
      </c>
      <c r="G216" s="3" t="s">
        <v>969</v>
      </c>
      <c r="H216" s="3" t="s">
        <v>76</v>
      </c>
      <c r="I216" s="3" t="s">
        <v>34</v>
      </c>
      <c r="J216" s="3" t="s">
        <v>970</v>
      </c>
      <c r="K216" s="3" t="s">
        <v>1120</v>
      </c>
      <c r="L216" s="3" t="s">
        <v>36</v>
      </c>
      <c r="M216" s="3" t="s">
        <v>751</v>
      </c>
      <c r="N216" s="3" t="s">
        <v>100</v>
      </c>
      <c r="O216" s="3" t="s">
        <v>51</v>
      </c>
      <c r="P216" s="3" t="s">
        <v>199</v>
      </c>
      <c r="Q216" s="6">
        <v>0.92</v>
      </c>
      <c r="R216" s="3" t="s">
        <v>200</v>
      </c>
      <c r="S216" s="3" t="s">
        <v>1121</v>
      </c>
      <c r="T216" s="3">
        <v>26</v>
      </c>
      <c r="U216" s="3" t="s">
        <v>43</v>
      </c>
      <c r="V216" s="3" t="s">
        <v>202</v>
      </c>
      <c r="W216" s="9"/>
      <c r="X216" s="9" t="s">
        <v>45</v>
      </c>
      <c r="Y216" s="9"/>
    </row>
    <row r="217" spans="1:25" ht="86" customHeight="1">
      <c r="A217" s="3" t="s">
        <v>1122</v>
      </c>
      <c r="B217" s="3" t="s">
        <v>1123</v>
      </c>
      <c r="C217" s="3" t="s">
        <v>1124</v>
      </c>
      <c r="D217" s="3" t="s">
        <v>1123</v>
      </c>
      <c r="E217" s="3" t="s">
        <v>30</v>
      </c>
      <c r="F217" s="3" t="s">
        <v>968</v>
      </c>
      <c r="G217" s="3" t="s">
        <v>969</v>
      </c>
      <c r="H217" s="3" t="s">
        <v>76</v>
      </c>
      <c r="I217" s="3" t="s">
        <v>34</v>
      </c>
      <c r="J217" s="3" t="s">
        <v>970</v>
      </c>
      <c r="K217" s="3" t="s">
        <v>1125</v>
      </c>
      <c r="L217" s="3" t="s">
        <v>57</v>
      </c>
      <c r="M217" s="3"/>
      <c r="N217" s="3" t="s">
        <v>213</v>
      </c>
      <c r="O217" s="3" t="s">
        <v>39</v>
      </c>
      <c r="P217" s="3" t="s">
        <v>199</v>
      </c>
      <c r="Q217" s="6">
        <v>0.84</v>
      </c>
      <c r="R217" s="3" t="s">
        <v>200</v>
      </c>
      <c r="S217" s="3" t="s">
        <v>1126</v>
      </c>
      <c r="T217" s="3">
        <v>21</v>
      </c>
      <c r="U217" s="3" t="s">
        <v>43</v>
      </c>
      <c r="V217" s="3" t="s">
        <v>202</v>
      </c>
      <c r="W217" s="9"/>
      <c r="X217" s="9" t="s">
        <v>45</v>
      </c>
      <c r="Y217" s="9"/>
    </row>
    <row r="218" spans="1:25" ht="86" customHeight="1">
      <c r="A218" s="3" t="s">
        <v>1127</v>
      </c>
      <c r="B218" s="3" t="s">
        <v>1128</v>
      </c>
      <c r="C218" s="3" t="s">
        <v>1129</v>
      </c>
      <c r="D218" s="3" t="s">
        <v>1128</v>
      </c>
      <c r="E218" s="3" t="s">
        <v>30</v>
      </c>
      <c r="F218" s="3" t="s">
        <v>968</v>
      </c>
      <c r="G218" s="3" t="s">
        <v>969</v>
      </c>
      <c r="H218" s="3" t="s">
        <v>76</v>
      </c>
      <c r="I218" s="3" t="s">
        <v>34</v>
      </c>
      <c r="J218" s="3" t="s">
        <v>970</v>
      </c>
      <c r="K218" s="3" t="s">
        <v>1130</v>
      </c>
      <c r="L218" s="3" t="s">
        <v>50</v>
      </c>
      <c r="M218" s="3"/>
      <c r="N218" s="3" t="s">
        <v>100</v>
      </c>
      <c r="O218" s="3" t="s">
        <v>51</v>
      </c>
      <c r="P218" s="3" t="s">
        <v>199</v>
      </c>
      <c r="Q218" s="6">
        <v>0.92</v>
      </c>
      <c r="R218" s="3" t="s">
        <v>200</v>
      </c>
      <c r="S218" s="3" t="s">
        <v>1131</v>
      </c>
      <c r="T218" s="3">
        <v>72</v>
      </c>
      <c r="U218" s="3" t="s">
        <v>43</v>
      </c>
      <c r="V218" s="3" t="s">
        <v>202</v>
      </c>
      <c r="W218" s="9"/>
      <c r="X218" s="9" t="s">
        <v>45</v>
      </c>
      <c r="Y218" s="9"/>
    </row>
    <row r="219" spans="1:25" ht="86" customHeight="1">
      <c r="A219" s="3" t="s">
        <v>1132</v>
      </c>
      <c r="B219" s="3" t="s">
        <v>1133</v>
      </c>
      <c r="C219" s="3" t="s">
        <v>1134</v>
      </c>
      <c r="D219" s="3" t="s">
        <v>1135</v>
      </c>
      <c r="E219" s="3" t="s">
        <v>51</v>
      </c>
      <c r="F219" s="3" t="s">
        <v>968</v>
      </c>
      <c r="G219" s="3" t="s">
        <v>969</v>
      </c>
      <c r="H219" s="3" t="s">
        <v>76</v>
      </c>
      <c r="I219" s="3" t="s">
        <v>34</v>
      </c>
      <c r="J219" s="3" t="s">
        <v>970</v>
      </c>
      <c r="K219" s="3" t="s">
        <v>1136</v>
      </c>
      <c r="L219" s="3" t="s">
        <v>50</v>
      </c>
      <c r="M219" s="3"/>
      <c r="N219" s="3" t="s">
        <v>100</v>
      </c>
      <c r="O219" s="3" t="s">
        <v>51</v>
      </c>
      <c r="P219" s="3" t="s">
        <v>199</v>
      </c>
      <c r="Q219" s="6">
        <v>0.92</v>
      </c>
      <c r="R219" s="3" t="s">
        <v>200</v>
      </c>
      <c r="S219" s="3" t="s">
        <v>1137</v>
      </c>
      <c r="T219" s="3">
        <v>35</v>
      </c>
      <c r="U219" s="3" t="s">
        <v>43</v>
      </c>
      <c r="V219" s="3" t="s">
        <v>202</v>
      </c>
      <c r="W219" s="9"/>
      <c r="X219" s="9" t="s">
        <v>45</v>
      </c>
      <c r="Y219" s="9"/>
    </row>
    <row r="220" spans="1:25" ht="86" customHeight="1">
      <c r="A220" s="3" t="s">
        <v>1138</v>
      </c>
      <c r="B220" s="3" t="s">
        <v>1139</v>
      </c>
      <c r="C220" s="3" t="s">
        <v>1140</v>
      </c>
      <c r="D220" s="3" t="s">
        <v>1139</v>
      </c>
      <c r="E220" s="3" t="s">
        <v>30</v>
      </c>
      <c r="F220" s="3" t="s">
        <v>968</v>
      </c>
      <c r="G220" s="3" t="s">
        <v>969</v>
      </c>
      <c r="H220" s="3" t="s">
        <v>76</v>
      </c>
      <c r="I220" s="3" t="s">
        <v>34</v>
      </c>
      <c r="J220" s="3" t="s">
        <v>970</v>
      </c>
      <c r="K220" s="3" t="s">
        <v>1141</v>
      </c>
      <c r="L220" s="3" t="s">
        <v>62</v>
      </c>
      <c r="M220" s="3" t="s">
        <v>49</v>
      </c>
      <c r="N220" s="3" t="s">
        <v>100</v>
      </c>
      <c r="O220" s="3" t="s">
        <v>39</v>
      </c>
      <c r="P220" s="3" t="s">
        <v>199</v>
      </c>
      <c r="Q220" s="6">
        <v>0.84</v>
      </c>
      <c r="R220" s="3" t="s">
        <v>200</v>
      </c>
      <c r="S220" s="3" t="s">
        <v>1142</v>
      </c>
      <c r="T220" s="3">
        <v>24</v>
      </c>
      <c r="U220" s="3" t="s">
        <v>43</v>
      </c>
      <c r="V220" s="3" t="s">
        <v>202</v>
      </c>
      <c r="W220" s="9"/>
      <c r="X220" s="9" t="s">
        <v>45</v>
      </c>
      <c r="Y220" s="9"/>
    </row>
    <row r="221" spans="1:25" ht="86" customHeight="1">
      <c r="A221" s="3" t="s">
        <v>1143</v>
      </c>
      <c r="B221" s="3" t="s">
        <v>1144</v>
      </c>
      <c r="C221" s="3" t="s">
        <v>1145</v>
      </c>
      <c r="D221" s="3" t="s">
        <v>1144</v>
      </c>
      <c r="E221" s="3" t="s">
        <v>30</v>
      </c>
      <c r="F221" s="3" t="s">
        <v>968</v>
      </c>
      <c r="G221" s="3" t="s">
        <v>969</v>
      </c>
      <c r="H221" s="3" t="s">
        <v>76</v>
      </c>
      <c r="I221" s="3" t="s">
        <v>34</v>
      </c>
      <c r="J221" s="3" t="s">
        <v>970</v>
      </c>
      <c r="K221" s="3" t="s">
        <v>1146</v>
      </c>
      <c r="L221" s="3" t="s">
        <v>62</v>
      </c>
      <c r="M221" s="3"/>
      <c r="N221" s="3" t="s">
        <v>100</v>
      </c>
      <c r="O221" s="3" t="s">
        <v>51</v>
      </c>
      <c r="P221" s="3" t="s">
        <v>40</v>
      </c>
      <c r="Q221" s="6">
        <v>0.84</v>
      </c>
      <c r="R221" s="3" t="s">
        <v>41</v>
      </c>
      <c r="S221" s="3" t="s">
        <v>1147</v>
      </c>
      <c r="T221" s="3">
        <v>160</v>
      </c>
      <c r="U221" s="3" t="s">
        <v>43</v>
      </c>
      <c r="V221" s="3" t="s">
        <v>44</v>
      </c>
      <c r="W221" s="9"/>
      <c r="X221" s="9" t="s">
        <v>45</v>
      </c>
      <c r="Y221" s="9"/>
    </row>
    <row r="222" spans="1:25" ht="86" customHeight="1">
      <c r="A222" s="3" t="s">
        <v>1148</v>
      </c>
      <c r="B222" s="3" t="s">
        <v>1149</v>
      </c>
      <c r="C222" s="3" t="s">
        <v>1150</v>
      </c>
      <c r="D222" s="3" t="s">
        <v>1149</v>
      </c>
      <c r="E222" s="3" t="s">
        <v>30</v>
      </c>
      <c r="F222" s="3" t="s">
        <v>968</v>
      </c>
      <c r="G222" s="3" t="s">
        <v>969</v>
      </c>
      <c r="H222" s="3" t="s">
        <v>76</v>
      </c>
      <c r="I222" s="3" t="s">
        <v>34</v>
      </c>
      <c r="J222" s="3" t="s">
        <v>970</v>
      </c>
      <c r="K222" s="3" t="s">
        <v>1151</v>
      </c>
      <c r="L222" s="3" t="s">
        <v>49</v>
      </c>
      <c r="M222" s="3" t="s">
        <v>62</v>
      </c>
      <c r="N222" s="3" t="s">
        <v>213</v>
      </c>
      <c r="O222" s="3" t="s">
        <v>39</v>
      </c>
      <c r="P222" s="3" t="s">
        <v>199</v>
      </c>
      <c r="Q222" s="6">
        <v>0.84</v>
      </c>
      <c r="R222" s="3" t="s">
        <v>200</v>
      </c>
      <c r="S222" s="3" t="s">
        <v>1152</v>
      </c>
      <c r="T222" s="3">
        <v>17</v>
      </c>
      <c r="U222" s="3" t="s">
        <v>43</v>
      </c>
      <c r="V222" s="3" t="s">
        <v>202</v>
      </c>
      <c r="W222" s="9"/>
      <c r="X222" s="9" t="s">
        <v>45</v>
      </c>
      <c r="Y222" s="9"/>
    </row>
    <row r="223" spans="1:25" ht="86" customHeight="1">
      <c r="A223" s="3" t="s">
        <v>1153</v>
      </c>
      <c r="B223" s="3" t="s">
        <v>1154</v>
      </c>
      <c r="C223" s="3" t="s">
        <v>1155</v>
      </c>
      <c r="D223" s="3" t="s">
        <v>1154</v>
      </c>
      <c r="E223" s="3" t="s">
        <v>30</v>
      </c>
      <c r="F223" s="3" t="s">
        <v>968</v>
      </c>
      <c r="G223" s="3" t="s">
        <v>969</v>
      </c>
      <c r="H223" s="3" t="s">
        <v>76</v>
      </c>
      <c r="I223" s="3" t="s">
        <v>34</v>
      </c>
      <c r="J223" s="3" t="s">
        <v>970</v>
      </c>
      <c r="K223" s="3" t="s">
        <v>1151</v>
      </c>
      <c r="L223" s="3" t="s">
        <v>49</v>
      </c>
      <c r="M223" s="3"/>
      <c r="N223" s="3" t="s">
        <v>100</v>
      </c>
      <c r="O223" s="3" t="s">
        <v>51</v>
      </c>
      <c r="P223" s="3" t="s">
        <v>199</v>
      </c>
      <c r="Q223" s="6">
        <v>0.92</v>
      </c>
      <c r="R223" s="3" t="s">
        <v>200</v>
      </c>
      <c r="S223" s="3" t="s">
        <v>1156</v>
      </c>
      <c r="T223" s="3">
        <v>38</v>
      </c>
      <c r="U223" s="3" t="s">
        <v>43</v>
      </c>
      <c r="V223" s="3" t="s">
        <v>202</v>
      </c>
      <c r="W223" s="9"/>
      <c r="X223" s="9" t="s">
        <v>45</v>
      </c>
      <c r="Y223" s="9"/>
    </row>
    <row r="224" spans="1:25" ht="86" customHeight="1">
      <c r="A224" s="3" t="s">
        <v>1157</v>
      </c>
      <c r="B224" s="3" t="s">
        <v>1158</v>
      </c>
      <c r="C224" s="3" t="s">
        <v>1159</v>
      </c>
      <c r="D224" s="3" t="s">
        <v>1158</v>
      </c>
      <c r="E224" s="3" t="s">
        <v>30</v>
      </c>
      <c r="F224" s="3" t="s">
        <v>968</v>
      </c>
      <c r="G224" s="3" t="s">
        <v>969</v>
      </c>
      <c r="H224" s="3" t="s">
        <v>76</v>
      </c>
      <c r="I224" s="3" t="s">
        <v>34</v>
      </c>
      <c r="J224" s="3" t="s">
        <v>970</v>
      </c>
      <c r="K224" s="3" t="s">
        <v>1160</v>
      </c>
      <c r="L224" s="3" t="s">
        <v>49</v>
      </c>
      <c r="M224" s="3" t="s">
        <v>71</v>
      </c>
      <c r="N224" s="3" t="s">
        <v>100</v>
      </c>
      <c r="O224" s="3" t="s">
        <v>51</v>
      </c>
      <c r="P224" s="3" t="s">
        <v>199</v>
      </c>
      <c r="Q224" s="6">
        <v>0.92</v>
      </c>
      <c r="R224" s="3" t="s">
        <v>200</v>
      </c>
      <c r="S224" s="3" t="s">
        <v>1161</v>
      </c>
      <c r="T224" s="3">
        <v>55</v>
      </c>
      <c r="U224" s="3" t="s">
        <v>43</v>
      </c>
      <c r="V224" s="3" t="s">
        <v>202</v>
      </c>
      <c r="W224" s="9"/>
      <c r="X224" s="9" t="s">
        <v>45</v>
      </c>
      <c r="Y224" s="9"/>
    </row>
    <row r="225" spans="1:25" ht="86" customHeight="1">
      <c r="A225" s="3" t="s">
        <v>1162</v>
      </c>
      <c r="B225" s="3" t="s">
        <v>1163</v>
      </c>
      <c r="C225" s="3" t="s">
        <v>1164</v>
      </c>
      <c r="D225" s="3" t="s">
        <v>1163</v>
      </c>
      <c r="E225" s="3" t="s">
        <v>30</v>
      </c>
      <c r="F225" s="3" t="s">
        <v>1165</v>
      </c>
      <c r="G225" s="3" t="s">
        <v>1166</v>
      </c>
      <c r="H225" s="3" t="s">
        <v>76</v>
      </c>
      <c r="I225" s="3" t="s">
        <v>34</v>
      </c>
      <c r="J225" s="3" t="s">
        <v>1167</v>
      </c>
      <c r="K225" s="3" t="s">
        <v>1168</v>
      </c>
      <c r="L225" s="3" t="s">
        <v>49</v>
      </c>
      <c r="M225" s="3"/>
      <c r="N225" s="3" t="s">
        <v>213</v>
      </c>
      <c r="O225" s="3" t="s">
        <v>39</v>
      </c>
      <c r="P225" s="3" t="s">
        <v>199</v>
      </c>
      <c r="Q225" s="6">
        <v>0.92</v>
      </c>
      <c r="R225" s="3" t="s">
        <v>200</v>
      </c>
      <c r="S225" s="3" t="s">
        <v>1169</v>
      </c>
      <c r="T225" s="3">
        <v>45</v>
      </c>
      <c r="U225" s="3" t="s">
        <v>43</v>
      </c>
      <c r="V225" s="3" t="s">
        <v>202</v>
      </c>
      <c r="W225" s="9"/>
      <c r="X225" s="9" t="s">
        <v>45</v>
      </c>
      <c r="Y225" s="9"/>
    </row>
    <row r="226" spans="1:25" ht="86" customHeight="1">
      <c r="A226" s="3" t="s">
        <v>1170</v>
      </c>
      <c r="B226" s="3" t="s">
        <v>1171</v>
      </c>
      <c r="C226" s="3" t="s">
        <v>1172</v>
      </c>
      <c r="D226" s="3" t="s">
        <v>1171</v>
      </c>
      <c r="E226" s="3" t="s">
        <v>30</v>
      </c>
      <c r="F226" s="3" t="s">
        <v>1165</v>
      </c>
      <c r="G226" s="3" t="s">
        <v>1166</v>
      </c>
      <c r="H226" s="3" t="s">
        <v>33</v>
      </c>
      <c r="I226" s="3" t="s">
        <v>1167</v>
      </c>
      <c r="J226" s="3" t="s">
        <v>1167</v>
      </c>
      <c r="K226" s="3" t="s">
        <v>1173</v>
      </c>
      <c r="L226" s="3" t="s">
        <v>49</v>
      </c>
      <c r="M226" s="3" t="s">
        <v>62</v>
      </c>
      <c r="N226" s="3" t="s">
        <v>38</v>
      </c>
      <c r="O226" s="3" t="s">
        <v>51</v>
      </c>
      <c r="P226" s="3" t="s">
        <v>40</v>
      </c>
      <c r="Q226" s="6">
        <v>0.78</v>
      </c>
      <c r="R226" s="3" t="s">
        <v>41</v>
      </c>
      <c r="S226" s="3" t="s">
        <v>1174</v>
      </c>
      <c r="T226" s="3">
        <v>411</v>
      </c>
      <c r="U226" s="3" t="s">
        <v>43</v>
      </c>
      <c r="V226" s="3" t="s">
        <v>44</v>
      </c>
      <c r="W226" s="9"/>
      <c r="X226" s="9" t="s">
        <v>45</v>
      </c>
      <c r="Y226" s="9"/>
    </row>
    <row r="227" spans="1:25" ht="86" customHeight="1">
      <c r="A227" s="3" t="s">
        <v>1175</v>
      </c>
      <c r="B227" s="3" t="s">
        <v>1176</v>
      </c>
      <c r="C227" s="3" t="s">
        <v>1177</v>
      </c>
      <c r="D227" s="3" t="s">
        <v>1176</v>
      </c>
      <c r="E227" s="3" t="s">
        <v>30</v>
      </c>
      <c r="F227" s="3" t="s">
        <v>1165</v>
      </c>
      <c r="G227" s="3" t="s">
        <v>1166</v>
      </c>
      <c r="H227" s="3" t="s">
        <v>76</v>
      </c>
      <c r="I227" s="3" t="s">
        <v>34</v>
      </c>
      <c r="J227" s="3" t="s">
        <v>1167</v>
      </c>
      <c r="K227" s="3" t="s">
        <v>1178</v>
      </c>
      <c r="L227" s="3" t="s">
        <v>49</v>
      </c>
      <c r="M227" s="3"/>
      <c r="N227" s="3" t="s">
        <v>213</v>
      </c>
      <c r="O227" s="3" t="s">
        <v>39</v>
      </c>
      <c r="P227" s="3" t="s">
        <v>199</v>
      </c>
      <c r="Q227" s="6">
        <v>0.92</v>
      </c>
      <c r="R227" s="3" t="s">
        <v>200</v>
      </c>
      <c r="S227" s="3" t="s">
        <v>1179</v>
      </c>
      <c r="T227" s="3">
        <v>25</v>
      </c>
      <c r="U227" s="3" t="s">
        <v>43</v>
      </c>
      <c r="V227" s="3" t="s">
        <v>202</v>
      </c>
      <c r="W227" s="9"/>
      <c r="X227" s="9" t="s">
        <v>45</v>
      </c>
      <c r="Y227" s="9"/>
    </row>
    <row r="228" spans="1:25" ht="86" customHeight="1">
      <c r="A228" s="3" t="s">
        <v>1180</v>
      </c>
      <c r="B228" s="3" t="s">
        <v>1181</v>
      </c>
      <c r="C228" s="3" t="s">
        <v>1182</v>
      </c>
      <c r="D228" s="3" t="s">
        <v>1181</v>
      </c>
      <c r="E228" s="3" t="s">
        <v>30</v>
      </c>
      <c r="F228" s="3" t="s">
        <v>1165</v>
      </c>
      <c r="G228" s="3" t="s">
        <v>1166</v>
      </c>
      <c r="H228" s="3" t="s">
        <v>33</v>
      </c>
      <c r="I228" s="3" t="s">
        <v>1167</v>
      </c>
      <c r="J228" s="3" t="s">
        <v>1167</v>
      </c>
      <c r="K228" s="3" t="s">
        <v>1183</v>
      </c>
      <c r="L228" s="3" t="s">
        <v>49</v>
      </c>
      <c r="M228" s="3" t="s">
        <v>50</v>
      </c>
      <c r="N228" s="3" t="s">
        <v>38</v>
      </c>
      <c r="O228" s="3" t="s">
        <v>51</v>
      </c>
      <c r="P228" s="3" t="s">
        <v>40</v>
      </c>
      <c r="Q228" s="6">
        <v>0.78</v>
      </c>
      <c r="R228" s="3" t="s">
        <v>41</v>
      </c>
      <c r="S228" s="3" t="s">
        <v>1184</v>
      </c>
      <c r="T228" s="3">
        <v>41</v>
      </c>
      <c r="U228" s="3" t="s">
        <v>43</v>
      </c>
      <c r="V228" s="3" t="s">
        <v>44</v>
      </c>
      <c r="W228" s="9"/>
      <c r="X228" s="9" t="s">
        <v>45</v>
      </c>
      <c r="Y228" s="9"/>
    </row>
    <row r="229" spans="1:25" ht="86" customHeight="1">
      <c r="A229" s="3" t="s">
        <v>1185</v>
      </c>
      <c r="B229" s="3" t="s">
        <v>1186</v>
      </c>
      <c r="C229" s="3" t="s">
        <v>1187</v>
      </c>
      <c r="D229" s="3" t="s">
        <v>1186</v>
      </c>
      <c r="E229" s="3" t="s">
        <v>30</v>
      </c>
      <c r="F229" s="3" t="s">
        <v>1165</v>
      </c>
      <c r="G229" s="3" t="s">
        <v>1166</v>
      </c>
      <c r="H229" s="3" t="s">
        <v>76</v>
      </c>
      <c r="I229" s="3" t="s">
        <v>34</v>
      </c>
      <c r="J229" s="3" t="s">
        <v>1167</v>
      </c>
      <c r="K229" s="3" t="s">
        <v>1188</v>
      </c>
      <c r="L229" s="3" t="s">
        <v>49</v>
      </c>
      <c r="M229" s="3"/>
      <c r="N229" s="3" t="s">
        <v>213</v>
      </c>
      <c r="O229" s="3" t="s">
        <v>39</v>
      </c>
      <c r="P229" s="3" t="s">
        <v>199</v>
      </c>
      <c r="Q229" s="6">
        <v>0.92</v>
      </c>
      <c r="R229" s="3" t="s">
        <v>200</v>
      </c>
      <c r="S229" s="3" t="s">
        <v>1189</v>
      </c>
      <c r="T229" s="3">
        <v>57</v>
      </c>
      <c r="U229" s="3" t="s">
        <v>43</v>
      </c>
      <c r="V229" s="3" t="s">
        <v>202</v>
      </c>
      <c r="W229" s="9"/>
      <c r="X229" s="9" t="s">
        <v>45</v>
      </c>
      <c r="Y229" s="9"/>
    </row>
    <row r="230" spans="1:25" ht="86" customHeight="1">
      <c r="A230" s="3" t="s">
        <v>1190</v>
      </c>
      <c r="B230" s="3" t="s">
        <v>1191</v>
      </c>
      <c r="C230" s="3" t="s">
        <v>1192</v>
      </c>
      <c r="D230" s="3" t="s">
        <v>1191</v>
      </c>
      <c r="E230" s="3" t="s">
        <v>30</v>
      </c>
      <c r="F230" s="3" t="s">
        <v>1165</v>
      </c>
      <c r="G230" s="3" t="s">
        <v>1166</v>
      </c>
      <c r="H230" s="3" t="s">
        <v>76</v>
      </c>
      <c r="I230" s="3" t="s">
        <v>34</v>
      </c>
      <c r="J230" s="3" t="s">
        <v>1167</v>
      </c>
      <c r="K230" s="3" t="s">
        <v>1193</v>
      </c>
      <c r="L230" s="3" t="s">
        <v>49</v>
      </c>
      <c r="M230" s="3"/>
      <c r="N230" s="3" t="s">
        <v>213</v>
      </c>
      <c r="O230" s="3" t="s">
        <v>39</v>
      </c>
      <c r="P230" s="3" t="s">
        <v>199</v>
      </c>
      <c r="Q230" s="6">
        <v>0.92</v>
      </c>
      <c r="R230" s="3" t="s">
        <v>200</v>
      </c>
      <c r="S230" s="3" t="s">
        <v>1194</v>
      </c>
      <c r="T230" s="3">
        <v>65</v>
      </c>
      <c r="U230" s="3" t="s">
        <v>43</v>
      </c>
      <c r="V230" s="3" t="s">
        <v>202</v>
      </c>
      <c r="W230" s="9"/>
      <c r="X230" s="9" t="s">
        <v>45</v>
      </c>
      <c r="Y230" s="9"/>
    </row>
    <row r="231" spans="1:25" ht="86" customHeight="1">
      <c r="A231" s="3" t="s">
        <v>1195</v>
      </c>
      <c r="B231" s="3" t="s">
        <v>1196</v>
      </c>
      <c r="C231" s="3" t="s">
        <v>1197</v>
      </c>
      <c r="D231" s="3" t="s">
        <v>1196</v>
      </c>
      <c r="E231" s="3" t="s">
        <v>30</v>
      </c>
      <c r="F231" s="3" t="s">
        <v>1165</v>
      </c>
      <c r="G231" s="3" t="s">
        <v>1166</v>
      </c>
      <c r="H231" s="3" t="s">
        <v>76</v>
      </c>
      <c r="I231" s="3" t="s">
        <v>34</v>
      </c>
      <c r="J231" s="3" t="s">
        <v>1167</v>
      </c>
      <c r="K231" s="3" t="s">
        <v>1198</v>
      </c>
      <c r="L231" s="3" t="s">
        <v>49</v>
      </c>
      <c r="M231" s="3" t="s">
        <v>291</v>
      </c>
      <c r="N231" s="3" t="s">
        <v>38</v>
      </c>
      <c r="O231" s="3" t="s">
        <v>39</v>
      </c>
      <c r="P231" s="3" t="s">
        <v>40</v>
      </c>
      <c r="Q231" s="6">
        <v>0.84</v>
      </c>
      <c r="R231" s="3" t="s">
        <v>41</v>
      </c>
      <c r="S231" s="3" t="s">
        <v>1199</v>
      </c>
      <c r="T231" s="3">
        <v>563</v>
      </c>
      <c r="U231" s="3" t="s">
        <v>43</v>
      </c>
      <c r="V231" s="3" t="s">
        <v>44</v>
      </c>
      <c r="W231" s="9"/>
      <c r="X231" s="9" t="s">
        <v>45</v>
      </c>
      <c r="Y231" s="9"/>
    </row>
    <row r="232" spans="1:25" ht="86" customHeight="1">
      <c r="A232" s="3" t="s">
        <v>1200</v>
      </c>
      <c r="B232" s="3" t="s">
        <v>1201</v>
      </c>
      <c r="C232" s="3" t="s">
        <v>1202</v>
      </c>
      <c r="D232" s="3" t="s">
        <v>1201</v>
      </c>
      <c r="E232" s="3" t="s">
        <v>30</v>
      </c>
      <c r="F232" s="3" t="s">
        <v>1165</v>
      </c>
      <c r="G232" s="3" t="s">
        <v>1166</v>
      </c>
      <c r="H232" s="3" t="s">
        <v>33</v>
      </c>
      <c r="I232" s="3" t="s">
        <v>1167</v>
      </c>
      <c r="J232" s="3" t="s">
        <v>1167</v>
      </c>
      <c r="K232" s="3" t="s">
        <v>1203</v>
      </c>
      <c r="L232" s="3" t="s">
        <v>49</v>
      </c>
      <c r="M232" s="3" t="s">
        <v>36</v>
      </c>
      <c r="N232" s="3" t="s">
        <v>38</v>
      </c>
      <c r="O232" s="3" t="s">
        <v>51</v>
      </c>
      <c r="P232" s="3" t="s">
        <v>40</v>
      </c>
      <c r="Q232" s="6">
        <v>0.78</v>
      </c>
      <c r="R232" s="3" t="s">
        <v>41</v>
      </c>
      <c r="S232" s="3" t="s">
        <v>1204</v>
      </c>
      <c r="T232" s="3">
        <v>78</v>
      </c>
      <c r="U232" s="3" t="s">
        <v>43</v>
      </c>
      <c r="V232" s="3" t="s">
        <v>44</v>
      </c>
      <c r="W232" s="9"/>
      <c r="X232" s="9" t="s">
        <v>45</v>
      </c>
      <c r="Y232" s="9"/>
    </row>
    <row r="233" spans="1:25" ht="86" customHeight="1">
      <c r="A233" s="3" t="s">
        <v>1205</v>
      </c>
      <c r="B233" s="3" t="s">
        <v>1206</v>
      </c>
      <c r="C233" s="3" t="s">
        <v>1207</v>
      </c>
      <c r="D233" s="3" t="s">
        <v>1206</v>
      </c>
      <c r="E233" s="3" t="s">
        <v>30</v>
      </c>
      <c r="F233" s="3" t="s">
        <v>1165</v>
      </c>
      <c r="G233" s="3" t="s">
        <v>1166</v>
      </c>
      <c r="H233" s="3" t="s">
        <v>76</v>
      </c>
      <c r="I233" s="3" t="s">
        <v>34</v>
      </c>
      <c r="J233" s="3" t="s">
        <v>1167</v>
      </c>
      <c r="K233" s="3" t="s">
        <v>1208</v>
      </c>
      <c r="L233" s="3" t="s">
        <v>50</v>
      </c>
      <c r="M233" s="3"/>
      <c r="N233" s="3" t="s">
        <v>100</v>
      </c>
      <c r="O233" s="3" t="s">
        <v>51</v>
      </c>
      <c r="P233" s="3" t="s">
        <v>199</v>
      </c>
      <c r="Q233" s="6">
        <v>0.92</v>
      </c>
      <c r="R233" s="3" t="s">
        <v>200</v>
      </c>
      <c r="S233" s="3" t="s">
        <v>1209</v>
      </c>
      <c r="T233" s="3">
        <v>52</v>
      </c>
      <c r="U233" s="3" t="s">
        <v>43</v>
      </c>
      <c r="V233" s="3" t="s">
        <v>202</v>
      </c>
      <c r="W233" s="9"/>
      <c r="X233" s="9" t="s">
        <v>45</v>
      </c>
      <c r="Y233" s="9"/>
    </row>
    <row r="234" spans="1:25" ht="86" customHeight="1">
      <c r="A234" s="3" t="s">
        <v>1210</v>
      </c>
      <c r="B234" s="3" t="s">
        <v>1211</v>
      </c>
      <c r="C234" s="3" t="s">
        <v>1212</v>
      </c>
      <c r="D234" s="3" t="s">
        <v>1211</v>
      </c>
      <c r="E234" s="3" t="s">
        <v>30</v>
      </c>
      <c r="F234" s="3" t="s">
        <v>1165</v>
      </c>
      <c r="G234" s="3" t="s">
        <v>1166</v>
      </c>
      <c r="H234" s="3" t="s">
        <v>76</v>
      </c>
      <c r="I234" s="3" t="s">
        <v>34</v>
      </c>
      <c r="J234" s="3" t="s">
        <v>1167</v>
      </c>
      <c r="K234" s="3" t="s">
        <v>1213</v>
      </c>
      <c r="L234" s="3" t="s">
        <v>62</v>
      </c>
      <c r="M234" s="3"/>
      <c r="N234" s="3" t="s">
        <v>213</v>
      </c>
      <c r="O234" s="3" t="s">
        <v>39</v>
      </c>
      <c r="P234" s="3" t="s">
        <v>199</v>
      </c>
      <c r="Q234" s="6">
        <v>0.92</v>
      </c>
      <c r="R234" s="3" t="s">
        <v>200</v>
      </c>
      <c r="S234" s="3" t="s">
        <v>1214</v>
      </c>
      <c r="T234" s="3">
        <v>58</v>
      </c>
      <c r="U234" s="3" t="s">
        <v>43</v>
      </c>
      <c r="V234" s="3" t="s">
        <v>202</v>
      </c>
      <c r="W234" s="9"/>
      <c r="X234" s="9" t="s">
        <v>45</v>
      </c>
      <c r="Y234" s="9"/>
    </row>
    <row r="235" spans="1:25" ht="86" customHeight="1">
      <c r="A235" s="3" t="s">
        <v>1215</v>
      </c>
      <c r="B235" s="3" t="s">
        <v>1216</v>
      </c>
      <c r="C235" s="3" t="s">
        <v>1217</v>
      </c>
      <c r="D235" s="3" t="s">
        <v>1216</v>
      </c>
      <c r="E235" s="3" t="s">
        <v>30</v>
      </c>
      <c r="F235" s="3" t="s">
        <v>1165</v>
      </c>
      <c r="G235" s="3" t="s">
        <v>1166</v>
      </c>
      <c r="H235" s="3" t="s">
        <v>76</v>
      </c>
      <c r="I235" s="3" t="s">
        <v>34</v>
      </c>
      <c r="J235" s="3" t="s">
        <v>1167</v>
      </c>
      <c r="K235" s="3" t="s">
        <v>1218</v>
      </c>
      <c r="L235" s="3" t="s">
        <v>49</v>
      </c>
      <c r="M235" s="3" t="s">
        <v>62</v>
      </c>
      <c r="N235" s="3" t="s">
        <v>38</v>
      </c>
      <c r="O235" s="3" t="s">
        <v>39</v>
      </c>
      <c r="P235" s="3" t="s">
        <v>40</v>
      </c>
      <c r="Q235" s="6">
        <v>0.84</v>
      </c>
      <c r="R235" s="3" t="s">
        <v>41</v>
      </c>
      <c r="S235" s="3" t="s">
        <v>1219</v>
      </c>
      <c r="T235" s="3">
        <v>602</v>
      </c>
      <c r="U235" s="3" t="s">
        <v>43</v>
      </c>
      <c r="V235" s="3" t="s">
        <v>44</v>
      </c>
      <c r="W235" s="9"/>
      <c r="X235" s="9" t="s">
        <v>45</v>
      </c>
      <c r="Y235" s="9"/>
    </row>
    <row r="236" spans="1:25" ht="86" customHeight="1">
      <c r="A236" s="3" t="s">
        <v>1220</v>
      </c>
      <c r="B236" s="3" t="s">
        <v>1221</v>
      </c>
      <c r="C236" s="3" t="s">
        <v>1222</v>
      </c>
      <c r="D236" s="3" t="s">
        <v>1221</v>
      </c>
      <c r="E236" s="3" t="s">
        <v>30</v>
      </c>
      <c r="F236" s="3" t="s">
        <v>1165</v>
      </c>
      <c r="G236" s="3" t="s">
        <v>1166</v>
      </c>
      <c r="H236" s="3" t="s">
        <v>76</v>
      </c>
      <c r="I236" s="3" t="s">
        <v>34</v>
      </c>
      <c r="J236" s="3" t="s">
        <v>1167</v>
      </c>
      <c r="K236" s="3" t="s">
        <v>1223</v>
      </c>
      <c r="L236" s="3" t="s">
        <v>50</v>
      </c>
      <c r="M236" s="3"/>
      <c r="N236" s="3" t="s">
        <v>100</v>
      </c>
      <c r="O236" s="3" t="s">
        <v>51</v>
      </c>
      <c r="P236" s="3" t="s">
        <v>199</v>
      </c>
      <c r="Q236" s="6">
        <v>0.92</v>
      </c>
      <c r="R236" s="3" t="s">
        <v>200</v>
      </c>
      <c r="S236" s="3" t="s">
        <v>1224</v>
      </c>
      <c r="T236" s="3">
        <v>70</v>
      </c>
      <c r="U236" s="3" t="s">
        <v>43</v>
      </c>
      <c r="V236" s="3" t="s">
        <v>202</v>
      </c>
      <c r="W236" s="9"/>
      <c r="X236" s="9" t="s">
        <v>45</v>
      </c>
      <c r="Y236" s="9"/>
    </row>
    <row r="237" spans="1:25" ht="86" customHeight="1">
      <c r="A237" s="3" t="s">
        <v>1225</v>
      </c>
      <c r="B237" s="3" t="s">
        <v>1226</v>
      </c>
      <c r="C237" s="3" t="s">
        <v>1227</v>
      </c>
      <c r="D237" s="3" t="s">
        <v>1226</v>
      </c>
      <c r="E237" s="3" t="s">
        <v>30</v>
      </c>
      <c r="F237" s="3" t="s">
        <v>1165</v>
      </c>
      <c r="G237" s="3" t="s">
        <v>1166</v>
      </c>
      <c r="H237" s="3" t="s">
        <v>33</v>
      </c>
      <c r="I237" s="3" t="s">
        <v>34</v>
      </c>
      <c r="J237" s="3" t="s">
        <v>34</v>
      </c>
      <c r="K237" s="3" t="s">
        <v>1228</v>
      </c>
      <c r="L237" s="3" t="s">
        <v>49</v>
      </c>
      <c r="M237" s="3" t="s">
        <v>62</v>
      </c>
      <c r="N237" s="3" t="s">
        <v>38</v>
      </c>
      <c r="O237" s="3" t="s">
        <v>51</v>
      </c>
      <c r="P237" s="3" t="s">
        <v>40</v>
      </c>
      <c r="Q237" s="6">
        <v>0.78</v>
      </c>
      <c r="R237" s="3" t="s">
        <v>41</v>
      </c>
      <c r="S237" s="3" t="s">
        <v>1229</v>
      </c>
      <c r="T237" s="3">
        <v>64</v>
      </c>
      <c r="U237" s="3" t="s">
        <v>43</v>
      </c>
      <c r="V237" s="3" t="s">
        <v>44</v>
      </c>
      <c r="W237" s="9"/>
      <c r="X237" s="9" t="s">
        <v>45</v>
      </c>
      <c r="Y237" s="9"/>
    </row>
    <row r="238" spans="1:25" ht="86" customHeight="1">
      <c r="A238" s="3" t="s">
        <v>1230</v>
      </c>
      <c r="B238" s="3" t="s">
        <v>1231</v>
      </c>
      <c r="C238" s="3" t="s">
        <v>1232</v>
      </c>
      <c r="D238" s="3" t="s">
        <v>1231</v>
      </c>
      <c r="E238" s="3" t="s">
        <v>30</v>
      </c>
      <c r="F238" s="3" t="s">
        <v>1165</v>
      </c>
      <c r="G238" s="3" t="s">
        <v>1166</v>
      </c>
      <c r="H238" s="3" t="s">
        <v>76</v>
      </c>
      <c r="I238" s="3" t="s">
        <v>34</v>
      </c>
      <c r="J238" s="3" t="s">
        <v>1167</v>
      </c>
      <c r="K238" s="3" t="s">
        <v>1233</v>
      </c>
      <c r="L238" s="3" t="s">
        <v>49</v>
      </c>
      <c r="M238" s="3" t="s">
        <v>62</v>
      </c>
      <c r="N238" s="3" t="s">
        <v>100</v>
      </c>
      <c r="O238" s="3" t="s">
        <v>51</v>
      </c>
      <c r="P238" s="3" t="s">
        <v>199</v>
      </c>
      <c r="Q238" s="6">
        <v>0.92</v>
      </c>
      <c r="R238" s="3" t="s">
        <v>200</v>
      </c>
      <c r="S238" s="3" t="s">
        <v>1234</v>
      </c>
      <c r="T238" s="3">
        <v>45</v>
      </c>
      <c r="U238" s="3" t="s">
        <v>43</v>
      </c>
      <c r="V238" s="3" t="s">
        <v>202</v>
      </c>
      <c r="W238" s="9"/>
      <c r="X238" s="9" t="s">
        <v>45</v>
      </c>
      <c r="Y238" s="9"/>
    </row>
    <row r="239" spans="1:25" ht="86" customHeight="1">
      <c r="A239" s="3" t="s">
        <v>1235</v>
      </c>
      <c r="B239" s="3" t="s">
        <v>1236</v>
      </c>
      <c r="C239" s="3" t="s">
        <v>1237</v>
      </c>
      <c r="D239" s="3" t="s">
        <v>1236</v>
      </c>
      <c r="E239" s="3" t="s">
        <v>30</v>
      </c>
      <c r="F239" s="3" t="s">
        <v>1165</v>
      </c>
      <c r="G239" s="3" t="s">
        <v>1166</v>
      </c>
      <c r="H239" s="3" t="s">
        <v>76</v>
      </c>
      <c r="I239" s="3" t="s">
        <v>34</v>
      </c>
      <c r="J239" s="3" t="s">
        <v>1167</v>
      </c>
      <c r="K239" s="3" t="s">
        <v>1238</v>
      </c>
      <c r="L239" s="3" t="s">
        <v>49</v>
      </c>
      <c r="M239" s="3" t="s">
        <v>50</v>
      </c>
      <c r="N239" s="3" t="s">
        <v>213</v>
      </c>
      <c r="O239" s="3" t="s">
        <v>39</v>
      </c>
      <c r="P239" s="3" t="s">
        <v>199</v>
      </c>
      <c r="Q239" s="6">
        <v>0.92</v>
      </c>
      <c r="R239" s="3" t="s">
        <v>200</v>
      </c>
      <c r="S239" s="3" t="s">
        <v>1239</v>
      </c>
      <c r="T239" s="3">
        <v>67</v>
      </c>
      <c r="U239" s="3" t="s">
        <v>43</v>
      </c>
      <c r="V239" s="3" t="s">
        <v>202</v>
      </c>
      <c r="W239" s="9"/>
      <c r="X239" s="9" t="s">
        <v>45</v>
      </c>
      <c r="Y239" s="9"/>
    </row>
    <row r="240" spans="1:25" ht="86" customHeight="1">
      <c r="A240" s="3" t="s">
        <v>1240</v>
      </c>
      <c r="B240" s="3" t="s">
        <v>1241</v>
      </c>
      <c r="C240" s="3" t="s">
        <v>1242</v>
      </c>
      <c r="D240" s="3" t="s">
        <v>1241</v>
      </c>
      <c r="E240" s="3" t="s">
        <v>30</v>
      </c>
      <c r="F240" s="3" t="s">
        <v>1165</v>
      </c>
      <c r="G240" s="3" t="s">
        <v>1166</v>
      </c>
      <c r="H240" s="3" t="s">
        <v>33</v>
      </c>
      <c r="I240" s="3" t="s">
        <v>1167</v>
      </c>
      <c r="J240" s="3" t="s">
        <v>1167</v>
      </c>
      <c r="K240" s="3" t="s">
        <v>1238</v>
      </c>
      <c r="L240" s="3" t="s">
        <v>49</v>
      </c>
      <c r="M240" s="3"/>
      <c r="N240" s="3" t="s">
        <v>38</v>
      </c>
      <c r="O240" s="3" t="s">
        <v>51</v>
      </c>
      <c r="P240" s="3" t="s">
        <v>40</v>
      </c>
      <c r="Q240" s="6">
        <v>0.78</v>
      </c>
      <c r="R240" s="3" t="s">
        <v>41</v>
      </c>
      <c r="S240" s="3" t="s">
        <v>1243</v>
      </c>
      <c r="T240" s="3">
        <v>163</v>
      </c>
      <c r="U240" s="3" t="s">
        <v>43</v>
      </c>
      <c r="V240" s="3" t="s">
        <v>44</v>
      </c>
      <c r="W240" s="9"/>
      <c r="X240" s="9" t="s">
        <v>45</v>
      </c>
      <c r="Y240" s="9"/>
    </row>
    <row r="241" spans="1:25" ht="86" customHeight="1">
      <c r="A241" s="3" t="s">
        <v>1244</v>
      </c>
      <c r="B241" s="3" t="s">
        <v>1245</v>
      </c>
      <c r="C241" s="3" t="s">
        <v>1246</v>
      </c>
      <c r="D241" s="3" t="s">
        <v>1245</v>
      </c>
      <c r="E241" s="3" t="s">
        <v>30</v>
      </c>
      <c r="F241" s="3" t="s">
        <v>1165</v>
      </c>
      <c r="G241" s="3" t="s">
        <v>1166</v>
      </c>
      <c r="H241" s="3" t="s">
        <v>76</v>
      </c>
      <c r="I241" s="3" t="s">
        <v>34</v>
      </c>
      <c r="J241" s="3" t="s">
        <v>1167</v>
      </c>
      <c r="K241" s="3" t="s">
        <v>1247</v>
      </c>
      <c r="L241" s="3" t="s">
        <v>62</v>
      </c>
      <c r="M241" s="3" t="s">
        <v>49</v>
      </c>
      <c r="N241" s="3" t="s">
        <v>100</v>
      </c>
      <c r="O241" s="3" t="s">
        <v>51</v>
      </c>
      <c r="P241" s="3" t="s">
        <v>199</v>
      </c>
      <c r="Q241" s="6">
        <v>0.92</v>
      </c>
      <c r="R241" s="3" t="s">
        <v>200</v>
      </c>
      <c r="S241" s="3" t="s">
        <v>1248</v>
      </c>
      <c r="T241" s="3">
        <v>52</v>
      </c>
      <c r="U241" s="3" t="s">
        <v>43</v>
      </c>
      <c r="V241" s="3" t="s">
        <v>202</v>
      </c>
      <c r="W241" s="9"/>
      <c r="X241" s="9" t="s">
        <v>45</v>
      </c>
      <c r="Y241" s="9"/>
    </row>
    <row r="242" spans="1:25" ht="86" customHeight="1">
      <c r="A242" s="3" t="s">
        <v>1249</v>
      </c>
      <c r="B242" s="3" t="s">
        <v>1250</v>
      </c>
      <c r="C242" s="3" t="s">
        <v>1251</v>
      </c>
      <c r="D242" s="3" t="s">
        <v>1250</v>
      </c>
      <c r="E242" s="3" t="s">
        <v>30</v>
      </c>
      <c r="F242" s="3" t="s">
        <v>1165</v>
      </c>
      <c r="G242" s="3" t="s">
        <v>1166</v>
      </c>
      <c r="H242" s="3" t="s">
        <v>76</v>
      </c>
      <c r="I242" s="3" t="s">
        <v>34</v>
      </c>
      <c r="J242" s="3" t="s">
        <v>1167</v>
      </c>
      <c r="K242" s="3" t="s">
        <v>1252</v>
      </c>
      <c r="L242" s="3" t="s">
        <v>49</v>
      </c>
      <c r="M242" s="3"/>
      <c r="N242" s="3" t="s">
        <v>100</v>
      </c>
      <c r="O242" s="3" t="s">
        <v>39</v>
      </c>
      <c r="P242" s="3" t="s">
        <v>199</v>
      </c>
      <c r="Q242" s="6">
        <v>0.84</v>
      </c>
      <c r="R242" s="3" t="s">
        <v>200</v>
      </c>
      <c r="S242" s="3" t="s">
        <v>1253</v>
      </c>
      <c r="T242" s="3">
        <v>43</v>
      </c>
      <c r="U242" s="3" t="s">
        <v>43</v>
      </c>
      <c r="V242" s="3" t="s">
        <v>202</v>
      </c>
      <c r="W242" s="9"/>
      <c r="X242" s="9" t="s">
        <v>45</v>
      </c>
      <c r="Y242" s="9"/>
    </row>
    <row r="243" spans="1:25" ht="86" customHeight="1">
      <c r="A243" s="3" t="s">
        <v>1254</v>
      </c>
      <c r="B243" s="3" t="s">
        <v>1255</v>
      </c>
      <c r="C243" s="3" t="s">
        <v>1256</v>
      </c>
      <c r="D243" s="3" t="s">
        <v>1255</v>
      </c>
      <c r="E243" s="3" t="s">
        <v>30</v>
      </c>
      <c r="F243" s="3" t="s">
        <v>1165</v>
      </c>
      <c r="G243" s="3" t="s">
        <v>1166</v>
      </c>
      <c r="H243" s="3" t="s">
        <v>33</v>
      </c>
      <c r="I243" s="3" t="s">
        <v>1167</v>
      </c>
      <c r="J243" s="3" t="s">
        <v>1167</v>
      </c>
      <c r="K243" s="3" t="s">
        <v>1257</v>
      </c>
      <c r="L243" s="3" t="s">
        <v>49</v>
      </c>
      <c r="M243" s="3" t="s">
        <v>71</v>
      </c>
      <c r="N243" s="3" t="s">
        <v>38</v>
      </c>
      <c r="O243" s="3" t="s">
        <v>39</v>
      </c>
      <c r="P243" s="3" t="s">
        <v>40</v>
      </c>
      <c r="Q243" s="6">
        <v>0.78</v>
      </c>
      <c r="R243" s="3" t="s">
        <v>41</v>
      </c>
      <c r="S243" s="3" t="s">
        <v>1258</v>
      </c>
      <c r="T243" s="3">
        <v>443</v>
      </c>
      <c r="U243" s="3" t="s">
        <v>43</v>
      </c>
      <c r="V243" s="3" t="s">
        <v>44</v>
      </c>
      <c r="W243" s="9"/>
      <c r="X243" s="9" t="s">
        <v>45</v>
      </c>
      <c r="Y243" s="9"/>
    </row>
    <row r="244" spans="1:25" ht="86" customHeight="1">
      <c r="A244" s="3" t="s">
        <v>1259</v>
      </c>
      <c r="B244" s="3" t="s">
        <v>1260</v>
      </c>
      <c r="C244" s="3" t="s">
        <v>1261</v>
      </c>
      <c r="D244" s="3" t="s">
        <v>1260</v>
      </c>
      <c r="E244" s="3" t="s">
        <v>30</v>
      </c>
      <c r="F244" s="3" t="s">
        <v>1165</v>
      </c>
      <c r="G244" s="3" t="s">
        <v>1166</v>
      </c>
      <c r="H244" s="3" t="s">
        <v>76</v>
      </c>
      <c r="I244" s="3" t="s">
        <v>34</v>
      </c>
      <c r="J244" s="3" t="s">
        <v>1167</v>
      </c>
      <c r="K244" s="3" t="s">
        <v>1262</v>
      </c>
      <c r="L244" s="3" t="s">
        <v>49</v>
      </c>
      <c r="M244" s="3"/>
      <c r="N244" s="3" t="s">
        <v>213</v>
      </c>
      <c r="O244" s="3" t="s">
        <v>39</v>
      </c>
      <c r="P244" s="3" t="s">
        <v>199</v>
      </c>
      <c r="Q244" s="6">
        <v>0.92</v>
      </c>
      <c r="R244" s="3" t="s">
        <v>200</v>
      </c>
      <c r="S244" s="3" t="s">
        <v>1263</v>
      </c>
      <c r="T244" s="3">
        <v>53</v>
      </c>
      <c r="U244" s="3" t="s">
        <v>43</v>
      </c>
      <c r="V244" s="3" t="s">
        <v>202</v>
      </c>
      <c r="W244" s="9"/>
      <c r="X244" s="9" t="s">
        <v>45</v>
      </c>
      <c r="Y244" s="9"/>
    </row>
    <row r="245" spans="1:25" ht="86" customHeight="1">
      <c r="A245" s="3" t="s">
        <v>1264</v>
      </c>
      <c r="B245" s="3" t="s">
        <v>1265</v>
      </c>
      <c r="C245" s="3" t="s">
        <v>1266</v>
      </c>
      <c r="D245" s="3" t="s">
        <v>1265</v>
      </c>
      <c r="E245" s="3" t="s">
        <v>30</v>
      </c>
      <c r="F245" s="3" t="s">
        <v>1165</v>
      </c>
      <c r="G245" s="3" t="s">
        <v>1166</v>
      </c>
      <c r="H245" s="3" t="s">
        <v>33</v>
      </c>
      <c r="I245" s="3" t="s">
        <v>1167</v>
      </c>
      <c r="J245" s="3" t="s">
        <v>1167</v>
      </c>
      <c r="K245" s="3" t="s">
        <v>1267</v>
      </c>
      <c r="L245" s="3" t="s">
        <v>71</v>
      </c>
      <c r="M245" s="3" t="s">
        <v>49</v>
      </c>
      <c r="N245" s="3" t="s">
        <v>38</v>
      </c>
      <c r="O245" s="3" t="s">
        <v>51</v>
      </c>
      <c r="P245" s="3" t="s">
        <v>40</v>
      </c>
      <c r="Q245" s="6">
        <v>0.78</v>
      </c>
      <c r="R245" s="3" t="s">
        <v>41</v>
      </c>
      <c r="S245" s="3" t="s">
        <v>1268</v>
      </c>
      <c r="T245" s="3">
        <v>40</v>
      </c>
      <c r="U245" s="3" t="s">
        <v>43</v>
      </c>
      <c r="V245" s="3" t="s">
        <v>44</v>
      </c>
      <c r="W245" s="9"/>
      <c r="X245" s="9" t="s">
        <v>45</v>
      </c>
      <c r="Y245" s="9"/>
    </row>
    <row r="246" spans="1:25" ht="86" customHeight="1">
      <c r="A246" s="3" t="s">
        <v>1269</v>
      </c>
      <c r="B246" s="3" t="s">
        <v>1270</v>
      </c>
      <c r="C246" s="3" t="s">
        <v>1271</v>
      </c>
      <c r="D246" s="3" t="s">
        <v>1270</v>
      </c>
      <c r="E246" s="3" t="s">
        <v>30</v>
      </c>
      <c r="F246" s="3" t="s">
        <v>1165</v>
      </c>
      <c r="G246" s="3" t="s">
        <v>1166</v>
      </c>
      <c r="H246" s="3" t="s">
        <v>76</v>
      </c>
      <c r="I246" s="3" t="s">
        <v>34</v>
      </c>
      <c r="J246" s="3" t="s">
        <v>1167</v>
      </c>
      <c r="K246" s="3" t="s">
        <v>1272</v>
      </c>
      <c r="L246" s="3" t="s">
        <v>50</v>
      </c>
      <c r="M246" s="3"/>
      <c r="N246" s="3" t="s">
        <v>235</v>
      </c>
      <c r="O246" s="3" t="s">
        <v>39</v>
      </c>
      <c r="P246" s="3" t="s">
        <v>199</v>
      </c>
      <c r="Q246" s="6">
        <v>0.84</v>
      </c>
      <c r="R246" s="3" t="s">
        <v>200</v>
      </c>
      <c r="S246" s="3" t="s">
        <v>1273</v>
      </c>
      <c r="T246" s="3">
        <v>7</v>
      </c>
      <c r="U246" s="3" t="s">
        <v>43</v>
      </c>
      <c r="V246" s="3" t="s">
        <v>202</v>
      </c>
      <c r="W246" s="9"/>
      <c r="X246" s="9" t="s">
        <v>45</v>
      </c>
      <c r="Y246" s="9"/>
    </row>
    <row r="247" spans="1:25" ht="86" customHeight="1">
      <c r="A247" s="3" t="s">
        <v>1274</v>
      </c>
      <c r="B247" s="3" t="s">
        <v>1275</v>
      </c>
      <c r="C247" s="3" t="s">
        <v>1276</v>
      </c>
      <c r="D247" s="3" t="s">
        <v>1277</v>
      </c>
      <c r="E247" s="3" t="s">
        <v>51</v>
      </c>
      <c r="F247" s="3" t="s">
        <v>1165</v>
      </c>
      <c r="G247" s="3" t="s">
        <v>1166</v>
      </c>
      <c r="H247" s="3" t="s">
        <v>76</v>
      </c>
      <c r="I247" s="3" t="s">
        <v>34</v>
      </c>
      <c r="J247" s="3" t="s">
        <v>1167</v>
      </c>
      <c r="K247" s="3" t="s">
        <v>1278</v>
      </c>
      <c r="L247" s="3" t="s">
        <v>36</v>
      </c>
      <c r="M247" s="3"/>
      <c r="N247" s="3" t="s">
        <v>100</v>
      </c>
      <c r="O247" s="3" t="s">
        <v>51</v>
      </c>
      <c r="P247" s="3" t="s">
        <v>199</v>
      </c>
      <c r="Q247" s="6">
        <v>0.92</v>
      </c>
      <c r="R247" s="3" t="s">
        <v>200</v>
      </c>
      <c r="S247" s="3" t="s">
        <v>1279</v>
      </c>
      <c r="T247" s="3">
        <v>50</v>
      </c>
      <c r="U247" s="3" t="s">
        <v>43</v>
      </c>
      <c r="V247" s="3" t="s">
        <v>202</v>
      </c>
      <c r="W247" s="9"/>
      <c r="X247" s="9" t="s">
        <v>45</v>
      </c>
      <c r="Y247" s="9"/>
    </row>
    <row r="248" spans="1:25" ht="86" customHeight="1">
      <c r="A248" s="3" t="s">
        <v>1280</v>
      </c>
      <c r="B248" s="3" t="s">
        <v>1277</v>
      </c>
      <c r="C248" s="3" t="s">
        <v>1281</v>
      </c>
      <c r="D248" s="3" t="s">
        <v>1277</v>
      </c>
      <c r="E248" s="3" t="s">
        <v>30</v>
      </c>
      <c r="F248" s="3" t="s">
        <v>1165</v>
      </c>
      <c r="G248" s="3" t="s">
        <v>1166</v>
      </c>
      <c r="H248" s="3" t="s">
        <v>33</v>
      </c>
      <c r="I248" s="3" t="s">
        <v>34</v>
      </c>
      <c r="J248" s="3" t="s">
        <v>34</v>
      </c>
      <c r="K248" s="3" t="s">
        <v>1278</v>
      </c>
      <c r="L248" s="3" t="s">
        <v>36</v>
      </c>
      <c r="M248" s="3"/>
      <c r="N248" s="3" t="s">
        <v>100</v>
      </c>
      <c r="O248" s="3" t="s">
        <v>51</v>
      </c>
      <c r="P248" s="3" t="s">
        <v>40</v>
      </c>
      <c r="Q248" s="6">
        <v>0.78</v>
      </c>
      <c r="R248" s="3" t="s">
        <v>41</v>
      </c>
      <c r="S248" s="3" t="s">
        <v>1282</v>
      </c>
      <c r="T248" s="3">
        <v>102</v>
      </c>
      <c r="U248" s="3" t="s">
        <v>43</v>
      </c>
      <c r="V248" s="3" t="s">
        <v>44</v>
      </c>
      <c r="W248" s="9"/>
      <c r="X248" s="9" t="s">
        <v>45</v>
      </c>
      <c r="Y248" s="9"/>
    </row>
    <row r="249" spans="1:25" ht="86" customHeight="1">
      <c r="A249" s="3" t="s">
        <v>1283</v>
      </c>
      <c r="B249" s="3" t="s">
        <v>1284</v>
      </c>
      <c r="C249" s="3" t="s">
        <v>1285</v>
      </c>
      <c r="D249" s="3" t="s">
        <v>1286</v>
      </c>
      <c r="E249" s="3" t="s">
        <v>51</v>
      </c>
      <c r="F249" s="3" t="s">
        <v>1165</v>
      </c>
      <c r="G249" s="3" t="s">
        <v>1166</v>
      </c>
      <c r="H249" s="3" t="s">
        <v>76</v>
      </c>
      <c r="I249" s="3" t="s">
        <v>34</v>
      </c>
      <c r="J249" s="3" t="s">
        <v>1167</v>
      </c>
      <c r="K249" s="3" t="s">
        <v>1287</v>
      </c>
      <c r="L249" s="3" t="s">
        <v>50</v>
      </c>
      <c r="M249" s="3"/>
      <c r="N249" s="3" t="s">
        <v>235</v>
      </c>
      <c r="O249" s="3" t="s">
        <v>39</v>
      </c>
      <c r="P249" s="3" t="s">
        <v>199</v>
      </c>
      <c r="Q249" s="6">
        <v>0.84</v>
      </c>
      <c r="R249" s="3" t="s">
        <v>200</v>
      </c>
      <c r="S249" s="3" t="s">
        <v>1288</v>
      </c>
      <c r="T249" s="3">
        <v>21</v>
      </c>
      <c r="U249" s="3" t="s">
        <v>43</v>
      </c>
      <c r="V249" s="3" t="s">
        <v>202</v>
      </c>
      <c r="W249" s="9"/>
      <c r="X249" s="9" t="s">
        <v>45</v>
      </c>
      <c r="Y249" s="9"/>
    </row>
    <row r="250" spans="1:25" ht="86" customHeight="1">
      <c r="A250" s="3" t="s">
        <v>1289</v>
      </c>
      <c r="B250" s="3" t="s">
        <v>1290</v>
      </c>
      <c r="C250" s="3" t="s">
        <v>1291</v>
      </c>
      <c r="D250" s="3" t="s">
        <v>1290</v>
      </c>
      <c r="E250" s="3" t="s">
        <v>30</v>
      </c>
      <c r="F250" s="3" t="s">
        <v>1165</v>
      </c>
      <c r="G250" s="3" t="s">
        <v>1166</v>
      </c>
      <c r="H250" s="3" t="s">
        <v>76</v>
      </c>
      <c r="I250" s="3" t="s">
        <v>34</v>
      </c>
      <c r="J250" s="3" t="s">
        <v>1167</v>
      </c>
      <c r="K250" s="3" t="s">
        <v>1287</v>
      </c>
      <c r="L250" s="3" t="s">
        <v>49</v>
      </c>
      <c r="M250" s="3"/>
      <c r="N250" s="3" t="s">
        <v>100</v>
      </c>
      <c r="O250" s="3" t="s">
        <v>39</v>
      </c>
      <c r="P250" s="3" t="s">
        <v>199</v>
      </c>
      <c r="Q250" s="6">
        <v>0.84</v>
      </c>
      <c r="R250" s="3" t="s">
        <v>200</v>
      </c>
      <c r="S250" s="3" t="s">
        <v>1292</v>
      </c>
      <c r="T250" s="3">
        <v>9</v>
      </c>
      <c r="U250" s="3" t="s">
        <v>43</v>
      </c>
      <c r="V250" s="3" t="s">
        <v>202</v>
      </c>
      <c r="W250" s="9"/>
      <c r="X250" s="9" t="s">
        <v>45</v>
      </c>
      <c r="Y250" s="9"/>
    </row>
    <row r="251" spans="1:25" ht="86" customHeight="1">
      <c r="A251" s="3" t="s">
        <v>1293</v>
      </c>
      <c r="B251" s="3" t="s">
        <v>1294</v>
      </c>
      <c r="C251" s="3" t="s">
        <v>1295</v>
      </c>
      <c r="D251" s="3" t="s">
        <v>1294</v>
      </c>
      <c r="E251" s="3" t="s">
        <v>30</v>
      </c>
      <c r="F251" s="3" t="s">
        <v>1165</v>
      </c>
      <c r="G251" s="3" t="s">
        <v>1166</v>
      </c>
      <c r="H251" s="3" t="s">
        <v>76</v>
      </c>
      <c r="I251" s="3" t="s">
        <v>34</v>
      </c>
      <c r="J251" s="3" t="s">
        <v>1167</v>
      </c>
      <c r="K251" s="3" t="s">
        <v>1296</v>
      </c>
      <c r="L251" s="3" t="s">
        <v>50</v>
      </c>
      <c r="M251" s="3"/>
      <c r="N251" s="3" t="s">
        <v>1297</v>
      </c>
      <c r="O251" s="3" t="s">
        <v>39</v>
      </c>
      <c r="P251" s="3" t="s">
        <v>199</v>
      </c>
      <c r="Q251" s="6">
        <v>0.84</v>
      </c>
      <c r="R251" s="3" t="s">
        <v>200</v>
      </c>
      <c r="S251" s="3" t="s">
        <v>1298</v>
      </c>
      <c r="T251" s="3">
        <v>14</v>
      </c>
      <c r="U251" s="3" t="s">
        <v>43</v>
      </c>
      <c r="V251" s="3" t="s">
        <v>202</v>
      </c>
      <c r="W251" s="9"/>
      <c r="X251" s="9" t="s">
        <v>45</v>
      </c>
      <c r="Y251" s="9"/>
    </row>
    <row r="252" spans="1:25" ht="86" customHeight="1">
      <c r="A252" s="3" t="s">
        <v>1299</v>
      </c>
      <c r="B252" s="3" t="s">
        <v>1300</v>
      </c>
      <c r="C252" s="3" t="s">
        <v>1301</v>
      </c>
      <c r="D252" s="3" t="s">
        <v>1300</v>
      </c>
      <c r="E252" s="3" t="s">
        <v>30</v>
      </c>
      <c r="F252" s="3" t="s">
        <v>1165</v>
      </c>
      <c r="G252" s="3" t="s">
        <v>1166</v>
      </c>
      <c r="H252" s="3" t="s">
        <v>76</v>
      </c>
      <c r="I252" s="3" t="s">
        <v>34</v>
      </c>
      <c r="J252" s="3" t="s">
        <v>1167</v>
      </c>
      <c r="K252" s="3" t="s">
        <v>1302</v>
      </c>
      <c r="L252" s="3" t="s">
        <v>36</v>
      </c>
      <c r="M252" s="3"/>
      <c r="N252" s="3" t="s">
        <v>1297</v>
      </c>
      <c r="O252" s="3" t="s">
        <v>39</v>
      </c>
      <c r="P252" s="3" t="s">
        <v>199</v>
      </c>
      <c r="Q252" s="6">
        <v>0.92</v>
      </c>
      <c r="R252" s="3" t="s">
        <v>200</v>
      </c>
      <c r="S252" s="3" t="s">
        <v>1303</v>
      </c>
      <c r="T252" s="3">
        <v>50</v>
      </c>
      <c r="U252" s="3" t="s">
        <v>43</v>
      </c>
      <c r="V252" s="3" t="s">
        <v>202</v>
      </c>
      <c r="W252" s="9"/>
      <c r="X252" s="9" t="s">
        <v>45</v>
      </c>
      <c r="Y252" s="9"/>
    </row>
    <row r="253" spans="1:25" ht="86" customHeight="1">
      <c r="A253" s="3" t="s">
        <v>1304</v>
      </c>
      <c r="B253" s="3" t="s">
        <v>1305</v>
      </c>
      <c r="C253" s="3" t="s">
        <v>1306</v>
      </c>
      <c r="D253" s="3" t="s">
        <v>1305</v>
      </c>
      <c r="E253" s="3" t="s">
        <v>30</v>
      </c>
      <c r="F253" s="3" t="s">
        <v>1165</v>
      </c>
      <c r="G253" s="3" t="s">
        <v>1166</v>
      </c>
      <c r="H253" s="3" t="s">
        <v>76</v>
      </c>
      <c r="I253" s="3" t="s">
        <v>34</v>
      </c>
      <c r="J253" s="3" t="s">
        <v>1167</v>
      </c>
      <c r="K253" s="3" t="s">
        <v>1307</v>
      </c>
      <c r="L253" s="3" t="s">
        <v>49</v>
      </c>
      <c r="M253" s="3"/>
      <c r="N253" s="3" t="s">
        <v>213</v>
      </c>
      <c r="O253" s="3" t="s">
        <v>39</v>
      </c>
      <c r="P253" s="3" t="s">
        <v>199</v>
      </c>
      <c r="Q253" s="6">
        <v>0.92</v>
      </c>
      <c r="R253" s="3" t="s">
        <v>200</v>
      </c>
      <c r="S253" s="3" t="s">
        <v>1308</v>
      </c>
      <c r="T253" s="3">
        <v>43</v>
      </c>
      <c r="U253" s="3" t="s">
        <v>43</v>
      </c>
      <c r="V253" s="3" t="s">
        <v>202</v>
      </c>
      <c r="W253" s="9"/>
      <c r="X253" s="9" t="s">
        <v>45</v>
      </c>
      <c r="Y253" s="9"/>
    </row>
    <row r="254" spans="1:25" ht="86" customHeight="1">
      <c r="A254" s="3" t="s">
        <v>1309</v>
      </c>
      <c r="B254" s="3" t="s">
        <v>1310</v>
      </c>
      <c r="C254" s="3" t="s">
        <v>1311</v>
      </c>
      <c r="D254" s="3" t="s">
        <v>1310</v>
      </c>
      <c r="E254" s="3" t="s">
        <v>30</v>
      </c>
      <c r="F254" s="3" t="s">
        <v>1165</v>
      </c>
      <c r="G254" s="3" t="s">
        <v>1166</v>
      </c>
      <c r="H254" s="3" t="s">
        <v>76</v>
      </c>
      <c r="I254" s="3" t="s">
        <v>34</v>
      </c>
      <c r="J254" s="3" t="s">
        <v>1167</v>
      </c>
      <c r="K254" s="3" t="s">
        <v>1312</v>
      </c>
      <c r="L254" s="3" t="s">
        <v>49</v>
      </c>
      <c r="M254" s="3"/>
      <c r="N254" s="3" t="s">
        <v>100</v>
      </c>
      <c r="O254" s="3" t="s">
        <v>51</v>
      </c>
      <c r="P254" s="3" t="s">
        <v>199</v>
      </c>
      <c r="Q254" s="6">
        <v>0.92</v>
      </c>
      <c r="R254" s="3" t="s">
        <v>200</v>
      </c>
      <c r="S254" s="3" t="s">
        <v>1313</v>
      </c>
      <c r="T254" s="3">
        <v>25</v>
      </c>
      <c r="U254" s="3" t="s">
        <v>43</v>
      </c>
      <c r="V254" s="3" t="s">
        <v>202</v>
      </c>
      <c r="W254" s="9"/>
      <c r="X254" s="9" t="s">
        <v>45</v>
      </c>
      <c r="Y254" s="9"/>
    </row>
    <row r="255" spans="1:25" ht="86" customHeight="1">
      <c r="A255" s="3" t="s">
        <v>1314</v>
      </c>
      <c r="B255" s="3" t="s">
        <v>1315</v>
      </c>
      <c r="C255" s="3" t="s">
        <v>1316</v>
      </c>
      <c r="D255" s="3" t="s">
        <v>1315</v>
      </c>
      <c r="E255" s="3" t="s">
        <v>30</v>
      </c>
      <c r="F255" s="3" t="s">
        <v>1165</v>
      </c>
      <c r="G255" s="3" t="s">
        <v>1166</v>
      </c>
      <c r="H255" s="3" t="s">
        <v>76</v>
      </c>
      <c r="I255" s="3" t="s">
        <v>34</v>
      </c>
      <c r="J255" s="3" t="s">
        <v>1167</v>
      </c>
      <c r="K255" s="3" t="s">
        <v>1317</v>
      </c>
      <c r="L255" s="3" t="s">
        <v>49</v>
      </c>
      <c r="M255" s="3"/>
      <c r="N255" s="3" t="s">
        <v>100</v>
      </c>
      <c r="O255" s="3" t="s">
        <v>51</v>
      </c>
      <c r="P255" s="3" t="s">
        <v>199</v>
      </c>
      <c r="Q255" s="6">
        <v>0.92</v>
      </c>
      <c r="R255" s="3" t="s">
        <v>200</v>
      </c>
      <c r="S255" s="3" t="s">
        <v>1318</v>
      </c>
      <c r="T255" s="3">
        <v>59</v>
      </c>
      <c r="U255" s="3" t="s">
        <v>43</v>
      </c>
      <c r="V255" s="3" t="s">
        <v>202</v>
      </c>
      <c r="W255" s="9"/>
      <c r="X255" s="9" t="s">
        <v>45</v>
      </c>
      <c r="Y255" s="9"/>
    </row>
    <row r="256" spans="1:25" ht="86" customHeight="1">
      <c r="A256" s="3" t="s">
        <v>1319</v>
      </c>
      <c r="B256" s="3" t="s">
        <v>1320</v>
      </c>
      <c r="C256" s="3" t="s">
        <v>1321</v>
      </c>
      <c r="D256" s="3" t="s">
        <v>1322</v>
      </c>
      <c r="E256" s="3" t="s">
        <v>51</v>
      </c>
      <c r="F256" s="3" t="s">
        <v>1165</v>
      </c>
      <c r="G256" s="3" t="s">
        <v>1166</v>
      </c>
      <c r="H256" s="3" t="s">
        <v>76</v>
      </c>
      <c r="I256" s="3" t="s">
        <v>34</v>
      </c>
      <c r="J256" s="3" t="s">
        <v>1167</v>
      </c>
      <c r="K256" s="3" t="s">
        <v>1323</v>
      </c>
      <c r="L256" s="3" t="s">
        <v>49</v>
      </c>
      <c r="M256" s="3"/>
      <c r="N256" s="3" t="s">
        <v>100</v>
      </c>
      <c r="O256" s="3" t="s">
        <v>51</v>
      </c>
      <c r="P256" s="3" t="s">
        <v>40</v>
      </c>
      <c r="Q256" s="6">
        <v>0.84</v>
      </c>
      <c r="R256" s="3" t="s">
        <v>41</v>
      </c>
      <c r="S256" s="3" t="s">
        <v>1324</v>
      </c>
      <c r="T256" s="3">
        <v>54</v>
      </c>
      <c r="U256" s="3" t="s">
        <v>43</v>
      </c>
      <c r="V256" s="3" t="s">
        <v>44</v>
      </c>
      <c r="W256" s="9"/>
      <c r="X256" s="9" t="s">
        <v>45</v>
      </c>
      <c r="Y256" s="9"/>
    </row>
    <row r="257" spans="1:25" ht="86" customHeight="1">
      <c r="A257" s="3" t="s">
        <v>1325</v>
      </c>
      <c r="B257" s="3" t="s">
        <v>1326</v>
      </c>
      <c r="C257" s="3" t="s">
        <v>1327</v>
      </c>
      <c r="D257" s="3" t="s">
        <v>1328</v>
      </c>
      <c r="E257" s="3" t="s">
        <v>51</v>
      </c>
      <c r="F257" s="3" t="s">
        <v>1165</v>
      </c>
      <c r="G257" s="3" t="s">
        <v>1166</v>
      </c>
      <c r="H257" s="3" t="s">
        <v>33</v>
      </c>
      <c r="I257" s="3" t="s">
        <v>1167</v>
      </c>
      <c r="J257" s="3" t="s">
        <v>1167</v>
      </c>
      <c r="K257" s="3" t="s">
        <v>1329</v>
      </c>
      <c r="L257" s="3" t="s">
        <v>49</v>
      </c>
      <c r="M257" s="3"/>
      <c r="N257" s="3" t="s">
        <v>100</v>
      </c>
      <c r="O257" s="3" t="s">
        <v>51</v>
      </c>
      <c r="P257" s="3" t="s">
        <v>40</v>
      </c>
      <c r="Q257" s="6">
        <v>0.78</v>
      </c>
      <c r="R257" s="3" t="s">
        <v>41</v>
      </c>
      <c r="S257" s="3" t="s">
        <v>1330</v>
      </c>
      <c r="T257" s="3">
        <v>123</v>
      </c>
      <c r="U257" s="3" t="s">
        <v>43</v>
      </c>
      <c r="V257" s="3" t="s">
        <v>44</v>
      </c>
      <c r="W257" s="9"/>
      <c r="X257" s="9" t="s">
        <v>45</v>
      </c>
      <c r="Y257" s="9"/>
    </row>
    <row r="258" spans="1:25" ht="86" customHeight="1">
      <c r="A258" s="3" t="s">
        <v>1331</v>
      </c>
      <c r="B258" s="3" t="s">
        <v>1332</v>
      </c>
      <c r="C258" s="3" t="s">
        <v>1333</v>
      </c>
      <c r="D258" s="3" t="s">
        <v>1334</v>
      </c>
      <c r="E258" s="3" t="s">
        <v>51</v>
      </c>
      <c r="F258" s="3" t="s">
        <v>1165</v>
      </c>
      <c r="G258" s="3" t="s">
        <v>1166</v>
      </c>
      <c r="H258" s="3" t="s">
        <v>33</v>
      </c>
      <c r="I258" s="3" t="s">
        <v>1167</v>
      </c>
      <c r="J258" s="3" t="s">
        <v>1167</v>
      </c>
      <c r="K258" s="3" t="s">
        <v>1329</v>
      </c>
      <c r="L258" s="3" t="s">
        <v>49</v>
      </c>
      <c r="M258" s="3" t="s">
        <v>1115</v>
      </c>
      <c r="N258" s="3" t="s">
        <v>100</v>
      </c>
      <c r="O258" s="3" t="s">
        <v>51</v>
      </c>
      <c r="P258" s="3" t="s">
        <v>40</v>
      </c>
      <c r="Q258" s="6">
        <v>0.78</v>
      </c>
      <c r="R258" s="3" t="s">
        <v>41</v>
      </c>
      <c r="S258" s="3" t="s">
        <v>1335</v>
      </c>
      <c r="T258" s="3">
        <v>133</v>
      </c>
      <c r="U258" s="3" t="s">
        <v>43</v>
      </c>
      <c r="V258" s="3" t="s">
        <v>44</v>
      </c>
      <c r="W258" s="9"/>
      <c r="X258" s="9" t="s">
        <v>45</v>
      </c>
      <c r="Y258" s="9"/>
    </row>
    <row r="259" spans="1:25" ht="86" customHeight="1">
      <c r="A259" s="3" t="s">
        <v>1336</v>
      </c>
      <c r="B259" s="3" t="s">
        <v>1337</v>
      </c>
      <c r="C259" s="3" t="s">
        <v>1338</v>
      </c>
      <c r="D259" s="3" t="s">
        <v>1337</v>
      </c>
      <c r="E259" s="3" t="s">
        <v>30</v>
      </c>
      <c r="F259" s="3" t="s">
        <v>1165</v>
      </c>
      <c r="G259" s="3" t="s">
        <v>1166</v>
      </c>
      <c r="H259" s="3" t="s">
        <v>76</v>
      </c>
      <c r="I259" s="3" t="s">
        <v>34</v>
      </c>
      <c r="J259" s="3" t="s">
        <v>1167</v>
      </c>
      <c r="K259" s="3" t="s">
        <v>1339</v>
      </c>
      <c r="L259" s="3" t="s">
        <v>49</v>
      </c>
      <c r="M259" s="3"/>
      <c r="N259" s="3" t="s">
        <v>100</v>
      </c>
      <c r="O259" s="3" t="s">
        <v>51</v>
      </c>
      <c r="P259" s="3" t="s">
        <v>199</v>
      </c>
      <c r="Q259" s="6">
        <v>0.92</v>
      </c>
      <c r="R259" s="3" t="s">
        <v>200</v>
      </c>
      <c r="S259" s="3" t="s">
        <v>1340</v>
      </c>
      <c r="T259" s="3">
        <v>29</v>
      </c>
      <c r="U259" s="3" t="s">
        <v>43</v>
      </c>
      <c r="V259" s="3" t="s">
        <v>202</v>
      </c>
      <c r="W259" s="9"/>
      <c r="X259" s="9" t="s">
        <v>45</v>
      </c>
      <c r="Y259" s="9"/>
    </row>
    <row r="260" spans="1:25" ht="86" customHeight="1">
      <c r="A260" s="3" t="s">
        <v>1341</v>
      </c>
      <c r="B260" s="3" t="s">
        <v>1342</v>
      </c>
      <c r="C260" s="3" t="s">
        <v>1343</v>
      </c>
      <c r="D260" s="3" t="s">
        <v>1342</v>
      </c>
      <c r="E260" s="3" t="s">
        <v>30</v>
      </c>
      <c r="F260" s="3" t="s">
        <v>1165</v>
      </c>
      <c r="G260" s="3" t="s">
        <v>1166</v>
      </c>
      <c r="H260" s="3" t="s">
        <v>76</v>
      </c>
      <c r="I260" s="3" t="s">
        <v>34</v>
      </c>
      <c r="J260" s="3" t="s">
        <v>1167</v>
      </c>
      <c r="K260" s="3" t="s">
        <v>1344</v>
      </c>
      <c r="L260" s="3" t="s">
        <v>62</v>
      </c>
      <c r="M260" s="3" t="s">
        <v>751</v>
      </c>
      <c r="N260" s="3" t="s">
        <v>213</v>
      </c>
      <c r="O260" s="3" t="s">
        <v>39</v>
      </c>
      <c r="P260" s="3" t="s">
        <v>199</v>
      </c>
      <c r="Q260" s="6">
        <v>0.92</v>
      </c>
      <c r="R260" s="3" t="s">
        <v>200</v>
      </c>
      <c r="S260" s="3" t="s">
        <v>1345</v>
      </c>
      <c r="T260" s="3">
        <v>48</v>
      </c>
      <c r="U260" s="3" t="s">
        <v>43</v>
      </c>
      <c r="V260" s="3" t="s">
        <v>202</v>
      </c>
      <c r="W260" s="9"/>
      <c r="X260" s="9" t="s">
        <v>45</v>
      </c>
      <c r="Y260" s="9"/>
    </row>
    <row r="261" spans="1:25" ht="86" customHeight="1">
      <c r="A261" s="4" t="s">
        <v>1346</v>
      </c>
      <c r="B261" s="4" t="s">
        <v>1347</v>
      </c>
      <c r="C261" s="4" t="s">
        <v>1348</v>
      </c>
      <c r="D261" s="4" t="s">
        <v>1347</v>
      </c>
      <c r="E261" s="4" t="s">
        <v>30</v>
      </c>
      <c r="F261" s="4" t="s">
        <v>1165</v>
      </c>
      <c r="G261" s="4" t="s">
        <v>1166</v>
      </c>
      <c r="H261" s="4" t="s">
        <v>33</v>
      </c>
      <c r="I261" s="4" t="s">
        <v>1167</v>
      </c>
      <c r="J261" s="4" t="s">
        <v>1167</v>
      </c>
      <c r="K261" s="4" t="s">
        <v>1349</v>
      </c>
      <c r="L261" s="4" t="s">
        <v>50</v>
      </c>
      <c r="M261" s="4" t="s">
        <v>49</v>
      </c>
      <c r="N261" s="4" t="s">
        <v>38</v>
      </c>
      <c r="O261" s="4" t="s">
        <v>51</v>
      </c>
      <c r="P261" s="4" t="s">
        <v>40</v>
      </c>
      <c r="Q261" s="7">
        <v>0.78</v>
      </c>
      <c r="R261" s="4" t="s">
        <v>41</v>
      </c>
      <c r="S261" s="4" t="s">
        <v>1350</v>
      </c>
      <c r="T261" s="4">
        <v>418</v>
      </c>
      <c r="U261" s="4" t="s">
        <v>43</v>
      </c>
      <c r="V261" s="4" t="s">
        <v>44</v>
      </c>
      <c r="W261" s="10"/>
      <c r="X261" s="10" t="s">
        <v>45</v>
      </c>
      <c r="Y261" s="10"/>
    </row>
  </sheetData>
  <mergeCells count="2">
    <mergeCell ref="A1:Y1"/>
    <mergeCell ref="A2:Y2"/>
  </mergeCells>
  <conditionalFormatting sqref="E5:E261">
    <cfRule type="containsText" dxfId="5" priority="1" operator="containsText" text="Yes"/>
  </conditionalFormatting>
  <conditionalFormatting sqref="O5:O261">
    <cfRule type="containsText" dxfId="4" priority="2" operator="containsText" text="Yes"/>
  </conditionalFormatting>
  <conditionalFormatting sqref="P5:P261">
    <cfRule type="containsText" dxfId="3" priority="3" operator="containsText" text="Safety review"/>
  </conditionalFormatting>
  <dataValidations count="1">
    <dataValidation type="list" sqref="X5:X261" xr:uid="{00000000-0002-0000-0000-000000000000}">
      <formula1>"Pending,Include,Exclude,Revise"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20"/>
  <sheetViews>
    <sheetView showGridLines="0" workbookViewId="0"/>
  </sheetViews>
  <sheetFormatPr baseColWidth="10" defaultColWidth="8.83203125" defaultRowHeight="15"/>
  <cols>
    <col min="1" max="1" width="13" customWidth="1"/>
    <col min="2" max="2" width="54" customWidth="1"/>
    <col min="3" max="3" width="72" customWidth="1"/>
    <col min="4" max="4" width="48" customWidth="1"/>
    <col min="5" max="5" width="14" customWidth="1"/>
    <col min="6" max="6" width="48" customWidth="1"/>
    <col min="7" max="7" width="12" customWidth="1"/>
    <col min="8" max="8" width="21" customWidth="1"/>
    <col min="9" max="9" width="22" customWidth="1"/>
    <col min="10" max="10" width="24" customWidth="1"/>
    <col min="11" max="11" width="12" customWidth="1"/>
    <col min="12" max="12" width="25" customWidth="1"/>
    <col min="13" max="13" width="30" customWidth="1"/>
    <col min="14" max="14" width="19" customWidth="1"/>
    <col min="15" max="15" width="22" customWidth="1"/>
    <col min="16" max="16" width="23" customWidth="1"/>
    <col min="17" max="17" width="16" customWidth="1"/>
    <col min="18" max="18" width="22" customWidth="1"/>
    <col min="19" max="19" width="17" customWidth="1"/>
    <col min="20" max="20" width="15" customWidth="1"/>
    <col min="21" max="21" width="34" customWidth="1"/>
    <col min="22" max="22" width="45" customWidth="1"/>
    <col min="23" max="24" width="18" customWidth="1"/>
    <col min="25" max="25" width="38" customWidth="1"/>
  </cols>
  <sheetData>
    <row r="1" spans="1:25" ht="30" customHeight="1">
      <c r="A1" s="22" t="s">
        <v>1351</v>
      </c>
      <c r="B1" s="22"/>
      <c r="C1" s="22"/>
      <c r="D1" s="22"/>
      <c r="E1" s="22"/>
      <c r="F1" s="22"/>
      <c r="G1" s="22"/>
      <c r="H1" s="22"/>
      <c r="I1" s="22"/>
      <c r="J1" s="22"/>
      <c r="K1" s="22"/>
      <c r="L1" s="22"/>
      <c r="M1" s="22"/>
      <c r="N1" s="22"/>
      <c r="O1" s="22"/>
      <c r="P1" s="22"/>
      <c r="Q1" s="22"/>
      <c r="R1" s="22"/>
      <c r="S1" s="22"/>
      <c r="T1" s="22"/>
      <c r="U1" s="22"/>
      <c r="V1" s="22"/>
      <c r="W1" s="22"/>
      <c r="X1" s="22"/>
      <c r="Y1" s="22"/>
    </row>
    <row r="2" spans="1:25" ht="42" customHeight="1">
      <c r="A2" s="23" t="s">
        <v>1352</v>
      </c>
      <c r="B2" s="23"/>
      <c r="C2" s="23"/>
      <c r="D2" s="23"/>
      <c r="E2" s="23"/>
      <c r="F2" s="23"/>
      <c r="G2" s="23"/>
      <c r="H2" s="23"/>
      <c r="I2" s="23"/>
      <c r="J2" s="23"/>
      <c r="K2" s="23"/>
      <c r="L2" s="23"/>
      <c r="M2" s="23"/>
      <c r="N2" s="23"/>
      <c r="O2" s="23"/>
      <c r="P2" s="23"/>
      <c r="Q2" s="23"/>
      <c r="R2" s="23"/>
      <c r="S2" s="23"/>
      <c r="T2" s="23"/>
      <c r="U2" s="23"/>
      <c r="V2" s="23"/>
      <c r="W2" s="23"/>
      <c r="X2" s="23"/>
      <c r="Y2" s="23"/>
    </row>
    <row r="4" spans="1:25" ht="36" customHeight="1">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c r="S4" s="1" t="s">
        <v>20</v>
      </c>
      <c r="T4" s="1" t="s">
        <v>21</v>
      </c>
      <c r="U4" s="1" t="s">
        <v>22</v>
      </c>
      <c r="V4" s="1" t="s">
        <v>23</v>
      </c>
      <c r="W4" s="1" t="s">
        <v>24</v>
      </c>
      <c r="X4" s="1" t="s">
        <v>25</v>
      </c>
      <c r="Y4" s="1" t="s">
        <v>26</v>
      </c>
    </row>
    <row r="5" spans="1:25" ht="86" customHeight="1">
      <c r="A5" s="2" t="s">
        <v>27</v>
      </c>
      <c r="B5" s="2" t="s">
        <v>28</v>
      </c>
      <c r="C5" s="2" t="s">
        <v>29</v>
      </c>
      <c r="D5" s="2" t="s">
        <v>28</v>
      </c>
      <c r="E5" s="2" t="s">
        <v>30</v>
      </c>
      <c r="F5" s="2" t="s">
        <v>31</v>
      </c>
      <c r="G5" s="2" t="s">
        <v>32</v>
      </c>
      <c r="H5" s="2" t="s">
        <v>33</v>
      </c>
      <c r="I5" s="2" t="s">
        <v>34</v>
      </c>
      <c r="J5" s="2" t="s">
        <v>34</v>
      </c>
      <c r="K5" s="2" t="s">
        <v>35</v>
      </c>
      <c r="L5" s="2" t="s">
        <v>36</v>
      </c>
      <c r="M5" s="2" t="s">
        <v>37</v>
      </c>
      <c r="N5" s="2" t="s">
        <v>38</v>
      </c>
      <c r="O5" s="2" t="s">
        <v>39</v>
      </c>
      <c r="P5" s="2" t="s">
        <v>40</v>
      </c>
      <c r="Q5" s="5">
        <v>0.78</v>
      </c>
      <c r="R5" s="2" t="s">
        <v>41</v>
      </c>
      <c r="S5" s="2" t="s">
        <v>42</v>
      </c>
      <c r="T5" s="2">
        <v>439</v>
      </c>
      <c r="U5" s="2" t="s">
        <v>43</v>
      </c>
      <c r="V5" s="2" t="s">
        <v>44</v>
      </c>
      <c r="W5" s="8"/>
      <c r="X5" s="8" t="s">
        <v>45</v>
      </c>
      <c r="Y5" s="8"/>
    </row>
    <row r="6" spans="1:25" ht="86" customHeight="1">
      <c r="A6" s="3" t="s">
        <v>46</v>
      </c>
      <c r="B6" s="3" t="s">
        <v>47</v>
      </c>
      <c r="C6" s="3" t="s">
        <v>48</v>
      </c>
      <c r="D6" s="3" t="s">
        <v>47</v>
      </c>
      <c r="E6" s="3" t="s">
        <v>30</v>
      </c>
      <c r="F6" s="3" t="s">
        <v>31</v>
      </c>
      <c r="G6" s="3" t="s">
        <v>32</v>
      </c>
      <c r="H6" s="3" t="s">
        <v>33</v>
      </c>
      <c r="I6" s="3" t="s">
        <v>34</v>
      </c>
      <c r="J6" s="3" t="s">
        <v>34</v>
      </c>
      <c r="K6" s="3" t="s">
        <v>35</v>
      </c>
      <c r="L6" s="3" t="s">
        <v>49</v>
      </c>
      <c r="M6" s="3" t="s">
        <v>50</v>
      </c>
      <c r="N6" s="3" t="s">
        <v>38</v>
      </c>
      <c r="O6" s="3" t="s">
        <v>51</v>
      </c>
      <c r="P6" s="3" t="s">
        <v>40</v>
      </c>
      <c r="Q6" s="6">
        <v>0.78</v>
      </c>
      <c r="R6" s="3" t="s">
        <v>41</v>
      </c>
      <c r="S6" s="3" t="s">
        <v>52</v>
      </c>
      <c r="T6" s="3">
        <v>420</v>
      </c>
      <c r="U6" s="3" t="s">
        <v>43</v>
      </c>
      <c r="V6" s="3" t="s">
        <v>44</v>
      </c>
      <c r="W6" s="9"/>
      <c r="X6" s="9" t="s">
        <v>45</v>
      </c>
      <c r="Y6" s="9"/>
    </row>
    <row r="7" spans="1:25" ht="86" customHeight="1">
      <c r="A7" s="3" t="s">
        <v>53</v>
      </c>
      <c r="B7" s="3" t="s">
        <v>54</v>
      </c>
      <c r="C7" s="3" t="s">
        <v>55</v>
      </c>
      <c r="D7" s="3" t="s">
        <v>56</v>
      </c>
      <c r="E7" s="3" t="s">
        <v>51</v>
      </c>
      <c r="F7" s="3" t="s">
        <v>31</v>
      </c>
      <c r="G7" s="3" t="s">
        <v>32</v>
      </c>
      <c r="H7" s="3" t="s">
        <v>33</v>
      </c>
      <c r="I7" s="3" t="s">
        <v>34</v>
      </c>
      <c r="J7" s="3" t="s">
        <v>34</v>
      </c>
      <c r="K7" s="3" t="s">
        <v>35</v>
      </c>
      <c r="L7" s="3" t="s">
        <v>57</v>
      </c>
      <c r="M7" s="3"/>
      <c r="N7" s="3" t="s">
        <v>38</v>
      </c>
      <c r="O7" s="3" t="s">
        <v>51</v>
      </c>
      <c r="P7" s="3" t="s">
        <v>40</v>
      </c>
      <c r="Q7" s="6">
        <v>0.78</v>
      </c>
      <c r="R7" s="3" t="s">
        <v>41</v>
      </c>
      <c r="S7" s="3" t="s">
        <v>58</v>
      </c>
      <c r="T7" s="3">
        <v>190</v>
      </c>
      <c r="U7" s="3" t="s">
        <v>43</v>
      </c>
      <c r="V7" s="3" t="s">
        <v>44</v>
      </c>
      <c r="W7" s="9"/>
      <c r="X7" s="9" t="s">
        <v>45</v>
      </c>
      <c r="Y7" s="9"/>
    </row>
    <row r="8" spans="1:25" ht="86" customHeight="1">
      <c r="A8" s="3" t="s">
        <v>59</v>
      </c>
      <c r="B8" s="3" t="s">
        <v>60</v>
      </c>
      <c r="C8" s="3" t="s">
        <v>61</v>
      </c>
      <c r="D8" s="3" t="s">
        <v>60</v>
      </c>
      <c r="E8" s="3" t="s">
        <v>30</v>
      </c>
      <c r="F8" s="3" t="s">
        <v>31</v>
      </c>
      <c r="G8" s="3" t="s">
        <v>32</v>
      </c>
      <c r="H8" s="3" t="s">
        <v>33</v>
      </c>
      <c r="I8" s="3" t="s">
        <v>34</v>
      </c>
      <c r="J8" s="3" t="s">
        <v>34</v>
      </c>
      <c r="K8" s="3" t="s">
        <v>35</v>
      </c>
      <c r="L8" s="3" t="s">
        <v>62</v>
      </c>
      <c r="M8" s="3"/>
      <c r="N8" s="3" t="s">
        <v>38</v>
      </c>
      <c r="O8" s="3" t="s">
        <v>39</v>
      </c>
      <c r="P8" s="3" t="s">
        <v>40</v>
      </c>
      <c r="Q8" s="6">
        <v>0.78</v>
      </c>
      <c r="R8" s="3" t="s">
        <v>41</v>
      </c>
      <c r="S8" s="3" t="s">
        <v>63</v>
      </c>
      <c r="T8" s="3">
        <v>448</v>
      </c>
      <c r="U8" s="3" t="s">
        <v>43</v>
      </c>
      <c r="V8" s="3" t="s">
        <v>44</v>
      </c>
      <c r="W8" s="9"/>
      <c r="X8" s="9" t="s">
        <v>45</v>
      </c>
      <c r="Y8" s="9"/>
    </row>
    <row r="9" spans="1:25" ht="86" customHeight="1">
      <c r="A9" s="3" t="s">
        <v>64</v>
      </c>
      <c r="B9" s="3" t="s">
        <v>65</v>
      </c>
      <c r="C9" s="3" t="s">
        <v>66</v>
      </c>
      <c r="D9" s="3" t="s">
        <v>65</v>
      </c>
      <c r="E9" s="3" t="s">
        <v>30</v>
      </c>
      <c r="F9" s="3" t="s">
        <v>67</v>
      </c>
      <c r="G9" s="3" t="s">
        <v>68</v>
      </c>
      <c r="H9" s="3" t="s">
        <v>33</v>
      </c>
      <c r="I9" s="3" t="s">
        <v>69</v>
      </c>
      <c r="J9" s="3" t="s">
        <v>69</v>
      </c>
      <c r="K9" s="3" t="s">
        <v>70</v>
      </c>
      <c r="L9" s="3" t="s">
        <v>71</v>
      </c>
      <c r="M9" s="3" t="s">
        <v>36</v>
      </c>
      <c r="N9" s="3" t="s">
        <v>38</v>
      </c>
      <c r="O9" s="3" t="s">
        <v>51</v>
      </c>
      <c r="P9" s="3" t="s">
        <v>40</v>
      </c>
      <c r="Q9" s="6">
        <v>0.78</v>
      </c>
      <c r="R9" s="3" t="s">
        <v>41</v>
      </c>
      <c r="S9" s="3" t="s">
        <v>72</v>
      </c>
      <c r="T9" s="3">
        <v>41</v>
      </c>
      <c r="U9" s="3" t="s">
        <v>43</v>
      </c>
      <c r="V9" s="3" t="s">
        <v>44</v>
      </c>
      <c r="W9" s="9"/>
      <c r="X9" s="9" t="s">
        <v>45</v>
      </c>
      <c r="Y9" s="9"/>
    </row>
    <row r="10" spans="1:25" ht="86" customHeight="1">
      <c r="A10" s="3" t="s">
        <v>73</v>
      </c>
      <c r="B10" s="3" t="s">
        <v>74</v>
      </c>
      <c r="C10" s="3" t="s">
        <v>75</v>
      </c>
      <c r="D10" s="3" t="s">
        <v>74</v>
      </c>
      <c r="E10" s="3" t="s">
        <v>30</v>
      </c>
      <c r="F10" s="3" t="s">
        <v>67</v>
      </c>
      <c r="G10" s="3" t="s">
        <v>68</v>
      </c>
      <c r="H10" s="3" t="s">
        <v>76</v>
      </c>
      <c r="I10" s="3" t="s">
        <v>34</v>
      </c>
      <c r="J10" s="3" t="s">
        <v>69</v>
      </c>
      <c r="K10" s="3" t="s">
        <v>77</v>
      </c>
      <c r="L10" s="3" t="s">
        <v>71</v>
      </c>
      <c r="M10" s="3" t="s">
        <v>36</v>
      </c>
      <c r="N10" s="3" t="s">
        <v>38</v>
      </c>
      <c r="O10" s="3" t="s">
        <v>39</v>
      </c>
      <c r="P10" s="3" t="s">
        <v>40</v>
      </c>
      <c r="Q10" s="6">
        <v>0.84</v>
      </c>
      <c r="R10" s="3" t="s">
        <v>41</v>
      </c>
      <c r="S10" s="3" t="s">
        <v>78</v>
      </c>
      <c r="T10" s="3">
        <v>424</v>
      </c>
      <c r="U10" s="3" t="s">
        <v>43</v>
      </c>
      <c r="V10" s="3" t="s">
        <v>44</v>
      </c>
      <c r="W10" s="9"/>
      <c r="X10" s="9" t="s">
        <v>45</v>
      </c>
      <c r="Y10" s="9"/>
    </row>
    <row r="11" spans="1:25" ht="86" customHeight="1">
      <c r="A11" s="3" t="s">
        <v>79</v>
      </c>
      <c r="B11" s="3" t="s">
        <v>80</v>
      </c>
      <c r="C11" s="3" t="s">
        <v>81</v>
      </c>
      <c r="D11" s="3" t="s">
        <v>80</v>
      </c>
      <c r="E11" s="3" t="s">
        <v>30</v>
      </c>
      <c r="F11" s="3" t="s">
        <v>67</v>
      </c>
      <c r="G11" s="3" t="s">
        <v>68</v>
      </c>
      <c r="H11" s="3" t="s">
        <v>76</v>
      </c>
      <c r="I11" s="3" t="s">
        <v>34</v>
      </c>
      <c r="J11" s="3" t="s">
        <v>69</v>
      </c>
      <c r="K11" s="3" t="s">
        <v>82</v>
      </c>
      <c r="L11" s="3" t="s">
        <v>36</v>
      </c>
      <c r="M11" s="3"/>
      <c r="N11" s="3" t="s">
        <v>38</v>
      </c>
      <c r="O11" s="3" t="s">
        <v>39</v>
      </c>
      <c r="P11" s="3" t="s">
        <v>40</v>
      </c>
      <c r="Q11" s="6">
        <v>0.84</v>
      </c>
      <c r="R11" s="3" t="s">
        <v>41</v>
      </c>
      <c r="S11" s="3" t="s">
        <v>83</v>
      </c>
      <c r="T11" s="3">
        <v>41</v>
      </c>
      <c r="U11" s="3" t="s">
        <v>43</v>
      </c>
      <c r="V11" s="3" t="s">
        <v>44</v>
      </c>
      <c r="W11" s="9"/>
      <c r="X11" s="9" t="s">
        <v>45</v>
      </c>
      <c r="Y11" s="9"/>
    </row>
    <row r="12" spans="1:25" ht="86" customHeight="1">
      <c r="A12" s="3" t="s">
        <v>84</v>
      </c>
      <c r="B12" s="3" t="s">
        <v>85</v>
      </c>
      <c r="C12" s="3" t="s">
        <v>86</v>
      </c>
      <c r="D12" s="3" t="s">
        <v>85</v>
      </c>
      <c r="E12" s="3" t="s">
        <v>30</v>
      </c>
      <c r="F12" s="3" t="s">
        <v>67</v>
      </c>
      <c r="G12" s="3" t="s">
        <v>68</v>
      </c>
      <c r="H12" s="3" t="s">
        <v>76</v>
      </c>
      <c r="I12" s="3" t="s">
        <v>34</v>
      </c>
      <c r="J12" s="3" t="s">
        <v>69</v>
      </c>
      <c r="K12" s="3" t="s">
        <v>87</v>
      </c>
      <c r="L12" s="3" t="s">
        <v>71</v>
      </c>
      <c r="M12" s="3" t="s">
        <v>50</v>
      </c>
      <c r="N12" s="3" t="s">
        <v>38</v>
      </c>
      <c r="O12" s="3" t="s">
        <v>39</v>
      </c>
      <c r="P12" s="3" t="s">
        <v>40</v>
      </c>
      <c r="Q12" s="6">
        <v>0.84</v>
      </c>
      <c r="R12" s="3" t="s">
        <v>41</v>
      </c>
      <c r="S12" s="3" t="s">
        <v>88</v>
      </c>
      <c r="T12" s="3">
        <v>635</v>
      </c>
      <c r="U12" s="3" t="s">
        <v>43</v>
      </c>
      <c r="V12" s="3" t="s">
        <v>44</v>
      </c>
      <c r="W12" s="9"/>
      <c r="X12" s="9" t="s">
        <v>45</v>
      </c>
      <c r="Y12" s="9"/>
    </row>
    <row r="13" spans="1:25" ht="86" customHeight="1">
      <c r="A13" s="3" t="s">
        <v>89</v>
      </c>
      <c r="B13" s="3" t="s">
        <v>90</v>
      </c>
      <c r="C13" s="3" t="s">
        <v>91</v>
      </c>
      <c r="D13" s="3" t="s">
        <v>90</v>
      </c>
      <c r="E13" s="3" t="s">
        <v>30</v>
      </c>
      <c r="F13" s="3" t="s">
        <v>67</v>
      </c>
      <c r="G13" s="3" t="s">
        <v>68</v>
      </c>
      <c r="H13" s="3" t="s">
        <v>76</v>
      </c>
      <c r="I13" s="3" t="s">
        <v>34</v>
      </c>
      <c r="J13" s="3" t="s">
        <v>69</v>
      </c>
      <c r="K13" s="3" t="s">
        <v>92</v>
      </c>
      <c r="L13" s="3" t="s">
        <v>71</v>
      </c>
      <c r="M13" s="3" t="s">
        <v>93</v>
      </c>
      <c r="N13" s="3" t="s">
        <v>38</v>
      </c>
      <c r="O13" s="3" t="s">
        <v>51</v>
      </c>
      <c r="P13" s="3" t="s">
        <v>40</v>
      </c>
      <c r="Q13" s="6">
        <v>0.84</v>
      </c>
      <c r="R13" s="3" t="s">
        <v>41</v>
      </c>
      <c r="S13" s="3" t="s">
        <v>94</v>
      </c>
      <c r="T13" s="3">
        <v>56</v>
      </c>
      <c r="U13" s="3" t="s">
        <v>43</v>
      </c>
      <c r="V13" s="3" t="s">
        <v>44</v>
      </c>
      <c r="W13" s="9"/>
      <c r="X13" s="9" t="s">
        <v>45</v>
      </c>
      <c r="Y13" s="9"/>
    </row>
    <row r="14" spans="1:25" ht="86" customHeight="1">
      <c r="A14" s="3" t="s">
        <v>95</v>
      </c>
      <c r="B14" s="3" t="s">
        <v>96</v>
      </c>
      <c r="C14" s="3" t="s">
        <v>97</v>
      </c>
      <c r="D14" s="3" t="s">
        <v>96</v>
      </c>
      <c r="E14" s="3" t="s">
        <v>30</v>
      </c>
      <c r="F14" s="3" t="s">
        <v>67</v>
      </c>
      <c r="G14" s="3" t="s">
        <v>68</v>
      </c>
      <c r="H14" s="3" t="s">
        <v>33</v>
      </c>
      <c r="I14" s="3" t="s">
        <v>34</v>
      </c>
      <c r="J14" s="3" t="s">
        <v>34</v>
      </c>
      <c r="K14" s="3" t="s">
        <v>98</v>
      </c>
      <c r="L14" s="3" t="s">
        <v>71</v>
      </c>
      <c r="M14" s="3" t="s">
        <v>99</v>
      </c>
      <c r="N14" s="3" t="s">
        <v>100</v>
      </c>
      <c r="O14" s="3" t="s">
        <v>51</v>
      </c>
      <c r="P14" s="3" t="s">
        <v>40</v>
      </c>
      <c r="Q14" s="6">
        <v>0.78</v>
      </c>
      <c r="R14" s="3" t="s">
        <v>41</v>
      </c>
      <c r="S14" s="3" t="s">
        <v>101</v>
      </c>
      <c r="T14" s="3">
        <v>33</v>
      </c>
      <c r="U14" s="3" t="s">
        <v>43</v>
      </c>
      <c r="V14" s="3" t="s">
        <v>44</v>
      </c>
      <c r="W14" s="9"/>
      <c r="X14" s="9" t="s">
        <v>45</v>
      </c>
      <c r="Y14" s="9"/>
    </row>
    <row r="15" spans="1:25" ht="86" customHeight="1">
      <c r="A15" s="3" t="s">
        <v>102</v>
      </c>
      <c r="B15" s="3" t="s">
        <v>103</v>
      </c>
      <c r="C15" s="3" t="s">
        <v>104</v>
      </c>
      <c r="D15" s="3" t="s">
        <v>103</v>
      </c>
      <c r="E15" s="3" t="s">
        <v>30</v>
      </c>
      <c r="F15" s="3" t="s">
        <v>67</v>
      </c>
      <c r="G15" s="3" t="s">
        <v>68</v>
      </c>
      <c r="H15" s="3" t="s">
        <v>76</v>
      </c>
      <c r="I15" s="3" t="s">
        <v>34</v>
      </c>
      <c r="J15" s="3" t="s">
        <v>69</v>
      </c>
      <c r="K15" s="3" t="s">
        <v>105</v>
      </c>
      <c r="L15" s="3" t="s">
        <v>50</v>
      </c>
      <c r="M15" s="3" t="s">
        <v>106</v>
      </c>
      <c r="N15" s="3" t="s">
        <v>38</v>
      </c>
      <c r="O15" s="3" t="s">
        <v>51</v>
      </c>
      <c r="P15" s="3" t="s">
        <v>40</v>
      </c>
      <c r="Q15" s="6">
        <v>0.84</v>
      </c>
      <c r="R15" s="3" t="s">
        <v>41</v>
      </c>
      <c r="S15" s="3" t="s">
        <v>107</v>
      </c>
      <c r="T15" s="3">
        <v>89</v>
      </c>
      <c r="U15" s="3" t="s">
        <v>43</v>
      </c>
      <c r="V15" s="3" t="s">
        <v>44</v>
      </c>
      <c r="W15" s="9"/>
      <c r="X15" s="9" t="s">
        <v>45</v>
      </c>
      <c r="Y15" s="9"/>
    </row>
    <row r="16" spans="1:25" ht="86" customHeight="1">
      <c r="A16" s="3" t="s">
        <v>108</v>
      </c>
      <c r="B16" s="3" t="s">
        <v>109</v>
      </c>
      <c r="C16" s="3" t="s">
        <v>110</v>
      </c>
      <c r="D16" s="3" t="s">
        <v>109</v>
      </c>
      <c r="E16" s="3" t="s">
        <v>30</v>
      </c>
      <c r="F16" s="3" t="s">
        <v>67</v>
      </c>
      <c r="G16" s="3" t="s">
        <v>68</v>
      </c>
      <c r="H16" s="3" t="s">
        <v>33</v>
      </c>
      <c r="I16" s="3" t="s">
        <v>69</v>
      </c>
      <c r="J16" s="3" t="s">
        <v>69</v>
      </c>
      <c r="K16" s="3" t="s">
        <v>111</v>
      </c>
      <c r="L16" s="3" t="s">
        <v>49</v>
      </c>
      <c r="M16" s="3" t="s">
        <v>112</v>
      </c>
      <c r="N16" s="3" t="s">
        <v>38</v>
      </c>
      <c r="O16" s="3" t="s">
        <v>51</v>
      </c>
      <c r="P16" s="3" t="s">
        <v>40</v>
      </c>
      <c r="Q16" s="6">
        <v>0.78</v>
      </c>
      <c r="R16" s="3" t="s">
        <v>41</v>
      </c>
      <c r="S16" s="3" t="s">
        <v>113</v>
      </c>
      <c r="T16" s="3">
        <v>123</v>
      </c>
      <c r="U16" s="3" t="s">
        <v>43</v>
      </c>
      <c r="V16" s="3" t="s">
        <v>44</v>
      </c>
      <c r="W16" s="9"/>
      <c r="X16" s="9" t="s">
        <v>45</v>
      </c>
      <c r="Y16" s="9"/>
    </row>
    <row r="17" spans="1:25" ht="86" customHeight="1">
      <c r="A17" s="3" t="s">
        <v>114</v>
      </c>
      <c r="B17" s="3" t="s">
        <v>115</v>
      </c>
      <c r="C17" s="3" t="s">
        <v>116</v>
      </c>
      <c r="D17" s="3" t="s">
        <v>115</v>
      </c>
      <c r="E17" s="3" t="s">
        <v>30</v>
      </c>
      <c r="F17" s="3" t="s">
        <v>67</v>
      </c>
      <c r="G17" s="3" t="s">
        <v>68</v>
      </c>
      <c r="H17" s="3" t="s">
        <v>33</v>
      </c>
      <c r="I17" s="3" t="s">
        <v>69</v>
      </c>
      <c r="J17" s="3" t="s">
        <v>69</v>
      </c>
      <c r="K17" s="3" t="s">
        <v>117</v>
      </c>
      <c r="L17" s="3" t="s">
        <v>71</v>
      </c>
      <c r="M17" s="3" t="s">
        <v>50</v>
      </c>
      <c r="N17" s="3" t="s">
        <v>100</v>
      </c>
      <c r="O17" s="3" t="s">
        <v>51</v>
      </c>
      <c r="P17" s="3" t="s">
        <v>40</v>
      </c>
      <c r="Q17" s="6">
        <v>0.78</v>
      </c>
      <c r="R17" s="3" t="s">
        <v>41</v>
      </c>
      <c r="S17" s="3" t="s">
        <v>118</v>
      </c>
      <c r="T17" s="3">
        <v>87</v>
      </c>
      <c r="U17" s="3" t="s">
        <v>43</v>
      </c>
      <c r="V17" s="3" t="s">
        <v>44</v>
      </c>
      <c r="W17" s="9"/>
      <c r="X17" s="9" t="s">
        <v>45</v>
      </c>
      <c r="Y17" s="9"/>
    </row>
    <row r="18" spans="1:25" ht="86" customHeight="1">
      <c r="A18" s="3" t="s">
        <v>119</v>
      </c>
      <c r="B18" s="3" t="s">
        <v>120</v>
      </c>
      <c r="C18" s="3" t="s">
        <v>121</v>
      </c>
      <c r="D18" s="3" t="s">
        <v>120</v>
      </c>
      <c r="E18" s="3" t="s">
        <v>30</v>
      </c>
      <c r="F18" s="3" t="s">
        <v>67</v>
      </c>
      <c r="G18" s="3" t="s">
        <v>68</v>
      </c>
      <c r="H18" s="3" t="s">
        <v>76</v>
      </c>
      <c r="I18" s="3" t="s">
        <v>34</v>
      </c>
      <c r="J18" s="3" t="s">
        <v>69</v>
      </c>
      <c r="K18" s="3" t="s">
        <v>122</v>
      </c>
      <c r="L18" s="3" t="s">
        <v>71</v>
      </c>
      <c r="M18" s="3"/>
      <c r="N18" s="3" t="s">
        <v>38</v>
      </c>
      <c r="O18" s="3" t="s">
        <v>51</v>
      </c>
      <c r="P18" s="3" t="s">
        <v>40</v>
      </c>
      <c r="Q18" s="6">
        <v>0.84</v>
      </c>
      <c r="R18" s="3" t="s">
        <v>41</v>
      </c>
      <c r="S18" s="3" t="s">
        <v>123</v>
      </c>
      <c r="T18" s="3">
        <v>55</v>
      </c>
      <c r="U18" s="3" t="s">
        <v>43</v>
      </c>
      <c r="V18" s="3" t="s">
        <v>44</v>
      </c>
      <c r="W18" s="9"/>
      <c r="X18" s="9" t="s">
        <v>45</v>
      </c>
      <c r="Y18" s="9"/>
    </row>
    <row r="19" spans="1:25" ht="86" customHeight="1">
      <c r="A19" s="3" t="s">
        <v>124</v>
      </c>
      <c r="B19" s="3" t="s">
        <v>125</v>
      </c>
      <c r="C19" s="3" t="s">
        <v>126</v>
      </c>
      <c r="D19" s="3" t="s">
        <v>125</v>
      </c>
      <c r="E19" s="3" t="s">
        <v>30</v>
      </c>
      <c r="F19" s="3" t="s">
        <v>67</v>
      </c>
      <c r="G19" s="3" t="s">
        <v>68</v>
      </c>
      <c r="H19" s="3" t="s">
        <v>76</v>
      </c>
      <c r="I19" s="3" t="s">
        <v>34</v>
      </c>
      <c r="J19" s="3" t="s">
        <v>69</v>
      </c>
      <c r="K19" s="3" t="s">
        <v>127</v>
      </c>
      <c r="L19" s="3" t="s">
        <v>71</v>
      </c>
      <c r="M19" s="3" t="s">
        <v>128</v>
      </c>
      <c r="N19" s="3" t="s">
        <v>38</v>
      </c>
      <c r="O19" s="3" t="s">
        <v>51</v>
      </c>
      <c r="P19" s="3" t="s">
        <v>40</v>
      </c>
      <c r="Q19" s="6">
        <v>0.84</v>
      </c>
      <c r="R19" s="3" t="s">
        <v>41</v>
      </c>
      <c r="S19" s="3" t="s">
        <v>129</v>
      </c>
      <c r="T19" s="3">
        <v>216</v>
      </c>
      <c r="U19" s="3" t="s">
        <v>43</v>
      </c>
      <c r="V19" s="3" t="s">
        <v>44</v>
      </c>
      <c r="W19" s="9"/>
      <c r="X19" s="9" t="s">
        <v>45</v>
      </c>
      <c r="Y19" s="9"/>
    </row>
    <row r="20" spans="1:25" ht="86" customHeight="1">
      <c r="A20" s="3" t="s">
        <v>130</v>
      </c>
      <c r="B20" s="3" t="s">
        <v>131</v>
      </c>
      <c r="C20" s="3" t="s">
        <v>132</v>
      </c>
      <c r="D20" s="3" t="s">
        <v>131</v>
      </c>
      <c r="E20" s="3" t="s">
        <v>30</v>
      </c>
      <c r="F20" s="3" t="s">
        <v>67</v>
      </c>
      <c r="G20" s="3" t="s">
        <v>68</v>
      </c>
      <c r="H20" s="3" t="s">
        <v>76</v>
      </c>
      <c r="I20" s="3" t="s">
        <v>34</v>
      </c>
      <c r="J20" s="3" t="s">
        <v>69</v>
      </c>
      <c r="K20" s="3" t="s">
        <v>133</v>
      </c>
      <c r="L20" s="3" t="s">
        <v>49</v>
      </c>
      <c r="M20" s="3" t="s">
        <v>112</v>
      </c>
      <c r="N20" s="3" t="s">
        <v>38</v>
      </c>
      <c r="O20" s="3" t="s">
        <v>51</v>
      </c>
      <c r="P20" s="3" t="s">
        <v>40</v>
      </c>
      <c r="Q20" s="6">
        <v>0.84</v>
      </c>
      <c r="R20" s="3" t="s">
        <v>41</v>
      </c>
      <c r="S20" s="3" t="s">
        <v>134</v>
      </c>
      <c r="T20" s="3">
        <v>200</v>
      </c>
      <c r="U20" s="3" t="s">
        <v>43</v>
      </c>
      <c r="V20" s="3" t="s">
        <v>44</v>
      </c>
      <c r="W20" s="9"/>
      <c r="X20" s="9" t="s">
        <v>45</v>
      </c>
      <c r="Y20" s="9"/>
    </row>
    <row r="21" spans="1:25" ht="86" customHeight="1">
      <c r="A21" s="3" t="s">
        <v>135</v>
      </c>
      <c r="B21" s="3" t="s">
        <v>136</v>
      </c>
      <c r="C21" s="3" t="s">
        <v>137</v>
      </c>
      <c r="D21" s="3" t="s">
        <v>136</v>
      </c>
      <c r="E21" s="3" t="s">
        <v>30</v>
      </c>
      <c r="F21" s="3" t="s">
        <v>67</v>
      </c>
      <c r="G21" s="3" t="s">
        <v>68</v>
      </c>
      <c r="H21" s="3" t="s">
        <v>33</v>
      </c>
      <c r="I21" s="3" t="s">
        <v>69</v>
      </c>
      <c r="J21" s="3" t="s">
        <v>69</v>
      </c>
      <c r="K21" s="3" t="s">
        <v>133</v>
      </c>
      <c r="L21" s="3" t="s">
        <v>49</v>
      </c>
      <c r="M21" s="3"/>
      <c r="N21" s="3" t="s">
        <v>38</v>
      </c>
      <c r="O21" s="3" t="s">
        <v>51</v>
      </c>
      <c r="P21" s="3" t="s">
        <v>40</v>
      </c>
      <c r="Q21" s="6">
        <v>0.78</v>
      </c>
      <c r="R21" s="3" t="s">
        <v>41</v>
      </c>
      <c r="S21" s="3" t="s">
        <v>138</v>
      </c>
      <c r="T21" s="3">
        <v>26</v>
      </c>
      <c r="U21" s="3" t="s">
        <v>43</v>
      </c>
      <c r="V21" s="3" t="s">
        <v>44</v>
      </c>
      <c r="W21" s="9"/>
      <c r="X21" s="9" t="s">
        <v>45</v>
      </c>
      <c r="Y21" s="9"/>
    </row>
    <row r="22" spans="1:25" ht="86" customHeight="1">
      <c r="A22" s="3" t="s">
        <v>139</v>
      </c>
      <c r="B22" s="3" t="s">
        <v>140</v>
      </c>
      <c r="C22" s="3" t="s">
        <v>141</v>
      </c>
      <c r="D22" s="3" t="s">
        <v>140</v>
      </c>
      <c r="E22" s="3" t="s">
        <v>30</v>
      </c>
      <c r="F22" s="3" t="s">
        <v>67</v>
      </c>
      <c r="G22" s="3" t="s">
        <v>68</v>
      </c>
      <c r="H22" s="3" t="s">
        <v>76</v>
      </c>
      <c r="I22" s="3" t="s">
        <v>34</v>
      </c>
      <c r="J22" s="3" t="s">
        <v>69</v>
      </c>
      <c r="K22" s="3" t="s">
        <v>142</v>
      </c>
      <c r="L22" s="3" t="s">
        <v>36</v>
      </c>
      <c r="M22" s="3" t="s">
        <v>143</v>
      </c>
      <c r="N22" s="3" t="s">
        <v>38</v>
      </c>
      <c r="O22" s="3" t="s">
        <v>51</v>
      </c>
      <c r="P22" s="3" t="s">
        <v>40</v>
      </c>
      <c r="Q22" s="6">
        <v>0.84</v>
      </c>
      <c r="R22" s="3" t="s">
        <v>41</v>
      </c>
      <c r="S22" s="3" t="s">
        <v>144</v>
      </c>
      <c r="T22" s="3">
        <v>205</v>
      </c>
      <c r="U22" s="3" t="s">
        <v>43</v>
      </c>
      <c r="V22" s="3" t="s">
        <v>44</v>
      </c>
      <c r="W22" s="9"/>
      <c r="X22" s="9" t="s">
        <v>45</v>
      </c>
      <c r="Y22" s="9"/>
    </row>
    <row r="23" spans="1:25" ht="86" customHeight="1">
      <c r="A23" s="3" t="s">
        <v>145</v>
      </c>
      <c r="B23" s="3" t="s">
        <v>146</v>
      </c>
      <c r="C23" s="3" t="s">
        <v>147</v>
      </c>
      <c r="D23" s="3" t="s">
        <v>146</v>
      </c>
      <c r="E23" s="3" t="s">
        <v>30</v>
      </c>
      <c r="F23" s="3" t="s">
        <v>67</v>
      </c>
      <c r="G23" s="3" t="s">
        <v>68</v>
      </c>
      <c r="H23" s="3" t="s">
        <v>76</v>
      </c>
      <c r="I23" s="3" t="s">
        <v>34</v>
      </c>
      <c r="J23" s="3" t="s">
        <v>69</v>
      </c>
      <c r="K23" s="3" t="s">
        <v>148</v>
      </c>
      <c r="L23" s="3" t="s">
        <v>49</v>
      </c>
      <c r="M23" s="3" t="s">
        <v>149</v>
      </c>
      <c r="N23" s="3" t="s">
        <v>100</v>
      </c>
      <c r="O23" s="3" t="s">
        <v>51</v>
      </c>
      <c r="P23" s="3" t="s">
        <v>40</v>
      </c>
      <c r="Q23" s="6">
        <v>0.84</v>
      </c>
      <c r="R23" s="3" t="s">
        <v>41</v>
      </c>
      <c r="S23" s="3" t="s">
        <v>150</v>
      </c>
      <c r="T23" s="3">
        <v>93</v>
      </c>
      <c r="U23" s="3" t="s">
        <v>43</v>
      </c>
      <c r="V23" s="3" t="s">
        <v>44</v>
      </c>
      <c r="W23" s="9"/>
      <c r="X23" s="9" t="s">
        <v>45</v>
      </c>
      <c r="Y23" s="9"/>
    </row>
    <row r="24" spans="1:25" ht="86" customHeight="1">
      <c r="A24" s="3" t="s">
        <v>151</v>
      </c>
      <c r="B24" s="3" t="s">
        <v>152</v>
      </c>
      <c r="C24" s="3" t="s">
        <v>153</v>
      </c>
      <c r="D24" s="3" t="s">
        <v>152</v>
      </c>
      <c r="E24" s="3" t="s">
        <v>30</v>
      </c>
      <c r="F24" s="3" t="s">
        <v>67</v>
      </c>
      <c r="G24" s="3" t="s">
        <v>68</v>
      </c>
      <c r="H24" s="3" t="s">
        <v>76</v>
      </c>
      <c r="I24" s="3" t="s">
        <v>34</v>
      </c>
      <c r="J24" s="3" t="s">
        <v>69</v>
      </c>
      <c r="K24" s="3" t="s">
        <v>154</v>
      </c>
      <c r="L24" s="3" t="s">
        <v>36</v>
      </c>
      <c r="M24" s="3" t="s">
        <v>155</v>
      </c>
      <c r="N24" s="3" t="s">
        <v>38</v>
      </c>
      <c r="O24" s="3" t="s">
        <v>51</v>
      </c>
      <c r="P24" s="3" t="s">
        <v>40</v>
      </c>
      <c r="Q24" s="6">
        <v>0.84</v>
      </c>
      <c r="R24" s="3" t="s">
        <v>41</v>
      </c>
      <c r="S24" s="3" t="s">
        <v>156</v>
      </c>
      <c r="T24" s="3">
        <v>327</v>
      </c>
      <c r="U24" s="3" t="s">
        <v>43</v>
      </c>
      <c r="V24" s="3" t="s">
        <v>44</v>
      </c>
      <c r="W24" s="9"/>
      <c r="X24" s="9" t="s">
        <v>45</v>
      </c>
      <c r="Y24" s="9"/>
    </row>
    <row r="25" spans="1:25" ht="86" customHeight="1">
      <c r="A25" s="3" t="s">
        <v>157</v>
      </c>
      <c r="B25" s="3" t="s">
        <v>158</v>
      </c>
      <c r="C25" s="3" t="s">
        <v>159</v>
      </c>
      <c r="D25" s="3" t="s">
        <v>158</v>
      </c>
      <c r="E25" s="3" t="s">
        <v>30</v>
      </c>
      <c r="F25" s="3" t="s">
        <v>67</v>
      </c>
      <c r="G25" s="3" t="s">
        <v>68</v>
      </c>
      <c r="H25" s="3" t="s">
        <v>76</v>
      </c>
      <c r="I25" s="3" t="s">
        <v>34</v>
      </c>
      <c r="J25" s="3" t="s">
        <v>69</v>
      </c>
      <c r="K25" s="3" t="s">
        <v>160</v>
      </c>
      <c r="L25" s="3" t="s">
        <v>71</v>
      </c>
      <c r="M25" s="3" t="s">
        <v>161</v>
      </c>
      <c r="N25" s="3" t="s">
        <v>38</v>
      </c>
      <c r="O25" s="3" t="s">
        <v>39</v>
      </c>
      <c r="P25" s="3" t="s">
        <v>162</v>
      </c>
      <c r="Q25" s="6">
        <v>0.84</v>
      </c>
      <c r="R25" s="3" t="s">
        <v>41</v>
      </c>
      <c r="S25" s="3" t="s">
        <v>163</v>
      </c>
      <c r="T25" s="3">
        <v>421</v>
      </c>
      <c r="U25" s="3" t="s">
        <v>43</v>
      </c>
      <c r="V25" s="3" t="s">
        <v>44</v>
      </c>
      <c r="W25" s="9"/>
      <c r="X25" s="9" t="s">
        <v>45</v>
      </c>
      <c r="Y25" s="9"/>
    </row>
    <row r="26" spans="1:25" ht="86" customHeight="1">
      <c r="A26" s="3" t="s">
        <v>164</v>
      </c>
      <c r="B26" s="3" t="s">
        <v>165</v>
      </c>
      <c r="C26" s="3" t="s">
        <v>166</v>
      </c>
      <c r="D26" s="3" t="s">
        <v>165</v>
      </c>
      <c r="E26" s="3" t="s">
        <v>30</v>
      </c>
      <c r="F26" s="3" t="s">
        <v>67</v>
      </c>
      <c r="G26" s="3" t="s">
        <v>68</v>
      </c>
      <c r="H26" s="3" t="s">
        <v>76</v>
      </c>
      <c r="I26" s="3" t="s">
        <v>34</v>
      </c>
      <c r="J26" s="3" t="s">
        <v>69</v>
      </c>
      <c r="K26" s="3" t="s">
        <v>167</v>
      </c>
      <c r="L26" s="3" t="s">
        <v>71</v>
      </c>
      <c r="M26" s="3"/>
      <c r="N26" s="3" t="s">
        <v>38</v>
      </c>
      <c r="O26" s="3" t="s">
        <v>51</v>
      </c>
      <c r="P26" s="3" t="s">
        <v>40</v>
      </c>
      <c r="Q26" s="6">
        <v>0.84</v>
      </c>
      <c r="R26" s="3" t="s">
        <v>41</v>
      </c>
      <c r="S26" s="3" t="s">
        <v>168</v>
      </c>
      <c r="T26" s="3">
        <v>104</v>
      </c>
      <c r="U26" s="3" t="s">
        <v>43</v>
      </c>
      <c r="V26" s="3" t="s">
        <v>44</v>
      </c>
      <c r="W26" s="9"/>
      <c r="X26" s="9" t="s">
        <v>45</v>
      </c>
      <c r="Y26" s="9"/>
    </row>
    <row r="27" spans="1:25" ht="86" customHeight="1">
      <c r="A27" s="3" t="s">
        <v>169</v>
      </c>
      <c r="B27" s="3" t="s">
        <v>170</v>
      </c>
      <c r="C27" s="3" t="s">
        <v>171</v>
      </c>
      <c r="D27" s="3" t="s">
        <v>170</v>
      </c>
      <c r="E27" s="3" t="s">
        <v>30</v>
      </c>
      <c r="F27" s="3" t="s">
        <v>67</v>
      </c>
      <c r="G27" s="3" t="s">
        <v>68</v>
      </c>
      <c r="H27" s="3" t="s">
        <v>76</v>
      </c>
      <c r="I27" s="3" t="s">
        <v>34</v>
      </c>
      <c r="J27" s="3" t="s">
        <v>69</v>
      </c>
      <c r="K27" s="3" t="s">
        <v>172</v>
      </c>
      <c r="L27" s="3" t="s">
        <v>71</v>
      </c>
      <c r="M27" s="3" t="s">
        <v>173</v>
      </c>
      <c r="N27" s="3" t="s">
        <v>38</v>
      </c>
      <c r="O27" s="3" t="s">
        <v>51</v>
      </c>
      <c r="P27" s="3" t="s">
        <v>162</v>
      </c>
      <c r="Q27" s="6">
        <v>0.84</v>
      </c>
      <c r="R27" s="3" t="s">
        <v>41</v>
      </c>
      <c r="S27" s="3" t="s">
        <v>174</v>
      </c>
      <c r="T27" s="3">
        <v>158</v>
      </c>
      <c r="U27" s="3" t="s">
        <v>43</v>
      </c>
      <c r="V27" s="3" t="s">
        <v>44</v>
      </c>
      <c r="W27" s="9"/>
      <c r="X27" s="9" t="s">
        <v>45</v>
      </c>
      <c r="Y27" s="9"/>
    </row>
    <row r="28" spans="1:25" ht="86" customHeight="1">
      <c r="A28" s="3" t="s">
        <v>175</v>
      </c>
      <c r="B28" s="3" t="s">
        <v>176</v>
      </c>
      <c r="C28" s="3" t="s">
        <v>177</v>
      </c>
      <c r="D28" s="3" t="s">
        <v>176</v>
      </c>
      <c r="E28" s="3" t="s">
        <v>30</v>
      </c>
      <c r="F28" s="3" t="s">
        <v>67</v>
      </c>
      <c r="G28" s="3" t="s">
        <v>68</v>
      </c>
      <c r="H28" s="3" t="s">
        <v>76</v>
      </c>
      <c r="I28" s="3" t="s">
        <v>34</v>
      </c>
      <c r="J28" s="3" t="s">
        <v>69</v>
      </c>
      <c r="K28" s="3" t="s">
        <v>178</v>
      </c>
      <c r="L28" s="3" t="s">
        <v>71</v>
      </c>
      <c r="M28" s="3" t="s">
        <v>62</v>
      </c>
      <c r="N28" s="3" t="s">
        <v>38</v>
      </c>
      <c r="O28" s="3" t="s">
        <v>51</v>
      </c>
      <c r="P28" s="3" t="s">
        <v>40</v>
      </c>
      <c r="Q28" s="6">
        <v>0.84</v>
      </c>
      <c r="R28" s="3" t="s">
        <v>41</v>
      </c>
      <c r="S28" s="3" t="s">
        <v>179</v>
      </c>
      <c r="T28" s="3">
        <v>293</v>
      </c>
      <c r="U28" s="3" t="s">
        <v>43</v>
      </c>
      <c r="V28" s="3" t="s">
        <v>44</v>
      </c>
      <c r="W28" s="9"/>
      <c r="X28" s="9" t="s">
        <v>45</v>
      </c>
      <c r="Y28" s="9"/>
    </row>
    <row r="29" spans="1:25" ht="86" customHeight="1">
      <c r="A29" s="3" t="s">
        <v>180</v>
      </c>
      <c r="B29" s="3" t="s">
        <v>181</v>
      </c>
      <c r="C29" s="3" t="s">
        <v>182</v>
      </c>
      <c r="D29" s="3" t="s">
        <v>183</v>
      </c>
      <c r="E29" s="3" t="s">
        <v>51</v>
      </c>
      <c r="F29" s="3" t="s">
        <v>67</v>
      </c>
      <c r="G29" s="3" t="s">
        <v>68</v>
      </c>
      <c r="H29" s="3" t="s">
        <v>33</v>
      </c>
      <c r="I29" s="3" t="s">
        <v>69</v>
      </c>
      <c r="J29" s="3" t="s">
        <v>69</v>
      </c>
      <c r="K29" s="3" t="s">
        <v>178</v>
      </c>
      <c r="L29" s="3" t="s">
        <v>71</v>
      </c>
      <c r="M29" s="3" t="s">
        <v>62</v>
      </c>
      <c r="N29" s="3" t="s">
        <v>100</v>
      </c>
      <c r="O29" s="3" t="s">
        <v>51</v>
      </c>
      <c r="P29" s="3" t="s">
        <v>40</v>
      </c>
      <c r="Q29" s="6">
        <v>0.78</v>
      </c>
      <c r="R29" s="3" t="s">
        <v>41</v>
      </c>
      <c r="S29" s="3" t="s">
        <v>184</v>
      </c>
      <c r="T29" s="3">
        <v>172</v>
      </c>
      <c r="U29" s="3" t="s">
        <v>43</v>
      </c>
      <c r="V29" s="3" t="s">
        <v>44</v>
      </c>
      <c r="W29" s="9"/>
      <c r="X29" s="9" t="s">
        <v>45</v>
      </c>
      <c r="Y29" s="9"/>
    </row>
    <row r="30" spans="1:25" ht="86" customHeight="1">
      <c r="A30" s="3" t="s">
        <v>185</v>
      </c>
      <c r="B30" s="3" t="s">
        <v>186</v>
      </c>
      <c r="C30" s="3" t="s">
        <v>187</v>
      </c>
      <c r="D30" s="3" t="s">
        <v>186</v>
      </c>
      <c r="E30" s="3" t="s">
        <v>30</v>
      </c>
      <c r="F30" s="3" t="s">
        <v>67</v>
      </c>
      <c r="G30" s="3" t="s">
        <v>68</v>
      </c>
      <c r="H30" s="3" t="s">
        <v>76</v>
      </c>
      <c r="I30" s="3" t="s">
        <v>34</v>
      </c>
      <c r="J30" s="3" t="s">
        <v>69</v>
      </c>
      <c r="K30" s="3" t="s">
        <v>188</v>
      </c>
      <c r="L30" s="3" t="s">
        <v>71</v>
      </c>
      <c r="M30" s="3"/>
      <c r="N30" s="3" t="s">
        <v>38</v>
      </c>
      <c r="O30" s="3" t="s">
        <v>51</v>
      </c>
      <c r="P30" s="3" t="s">
        <v>40</v>
      </c>
      <c r="Q30" s="6">
        <v>0.84</v>
      </c>
      <c r="R30" s="3" t="s">
        <v>41</v>
      </c>
      <c r="S30" s="3" t="s">
        <v>189</v>
      </c>
      <c r="T30" s="3">
        <v>80</v>
      </c>
      <c r="U30" s="3" t="s">
        <v>43</v>
      </c>
      <c r="V30" s="3" t="s">
        <v>44</v>
      </c>
      <c r="W30" s="9"/>
      <c r="X30" s="9" t="s">
        <v>45</v>
      </c>
      <c r="Y30" s="9"/>
    </row>
    <row r="31" spans="1:25" ht="86" customHeight="1">
      <c r="A31" s="3" t="s">
        <v>190</v>
      </c>
      <c r="B31" s="3" t="s">
        <v>191</v>
      </c>
      <c r="C31" s="3" t="s">
        <v>192</v>
      </c>
      <c r="D31" s="3" t="s">
        <v>191</v>
      </c>
      <c r="E31" s="3" t="s">
        <v>30</v>
      </c>
      <c r="F31" s="3" t="s">
        <v>67</v>
      </c>
      <c r="G31" s="3" t="s">
        <v>68</v>
      </c>
      <c r="H31" s="3" t="s">
        <v>76</v>
      </c>
      <c r="I31" s="3" t="s">
        <v>34</v>
      </c>
      <c r="J31" s="3" t="s">
        <v>69</v>
      </c>
      <c r="K31" s="3" t="s">
        <v>193</v>
      </c>
      <c r="L31" s="3" t="s">
        <v>71</v>
      </c>
      <c r="M31" s="3"/>
      <c r="N31" s="3" t="s">
        <v>38</v>
      </c>
      <c r="O31" s="3" t="s">
        <v>51</v>
      </c>
      <c r="P31" s="3" t="s">
        <v>40</v>
      </c>
      <c r="Q31" s="6">
        <v>0.84</v>
      </c>
      <c r="R31" s="3" t="s">
        <v>41</v>
      </c>
      <c r="S31" s="3" t="s">
        <v>194</v>
      </c>
      <c r="T31" s="3">
        <v>113</v>
      </c>
      <c r="U31" s="3" t="s">
        <v>43</v>
      </c>
      <c r="V31" s="3" t="s">
        <v>44</v>
      </c>
      <c r="W31" s="9"/>
      <c r="X31" s="9" t="s">
        <v>45</v>
      </c>
      <c r="Y31" s="9"/>
    </row>
    <row r="32" spans="1:25" ht="86" customHeight="1">
      <c r="A32" s="3" t="s">
        <v>203</v>
      </c>
      <c r="B32" s="3" t="s">
        <v>204</v>
      </c>
      <c r="C32" s="3" t="s">
        <v>205</v>
      </c>
      <c r="D32" s="3" t="s">
        <v>206</v>
      </c>
      <c r="E32" s="3" t="s">
        <v>51</v>
      </c>
      <c r="F32" s="3" t="s">
        <v>67</v>
      </c>
      <c r="G32" s="3" t="s">
        <v>68</v>
      </c>
      <c r="H32" s="3" t="s">
        <v>33</v>
      </c>
      <c r="I32" s="3" t="s">
        <v>69</v>
      </c>
      <c r="J32" s="3" t="s">
        <v>69</v>
      </c>
      <c r="K32" s="3" t="s">
        <v>207</v>
      </c>
      <c r="L32" s="3" t="s">
        <v>36</v>
      </c>
      <c r="M32" s="3" t="s">
        <v>71</v>
      </c>
      <c r="N32" s="3" t="s">
        <v>100</v>
      </c>
      <c r="O32" s="3" t="s">
        <v>51</v>
      </c>
      <c r="P32" s="3" t="s">
        <v>40</v>
      </c>
      <c r="Q32" s="6">
        <v>0.78</v>
      </c>
      <c r="R32" s="3" t="s">
        <v>41</v>
      </c>
      <c r="S32" s="3" t="s">
        <v>208</v>
      </c>
      <c r="T32" s="3">
        <v>131</v>
      </c>
      <c r="U32" s="3" t="s">
        <v>43</v>
      </c>
      <c r="V32" s="3" t="s">
        <v>44</v>
      </c>
      <c r="W32" s="9"/>
      <c r="X32" s="9" t="s">
        <v>45</v>
      </c>
      <c r="Y32" s="9"/>
    </row>
    <row r="33" spans="1:25" ht="86" customHeight="1">
      <c r="A33" s="3" t="s">
        <v>225</v>
      </c>
      <c r="B33" s="3" t="s">
        <v>226</v>
      </c>
      <c r="C33" s="3" t="s">
        <v>227</v>
      </c>
      <c r="D33" s="3" t="s">
        <v>226</v>
      </c>
      <c r="E33" s="3" t="s">
        <v>30</v>
      </c>
      <c r="F33" s="3" t="s">
        <v>67</v>
      </c>
      <c r="G33" s="3" t="s">
        <v>68</v>
      </c>
      <c r="H33" s="3" t="s">
        <v>76</v>
      </c>
      <c r="I33" s="3" t="s">
        <v>34</v>
      </c>
      <c r="J33" s="3" t="s">
        <v>69</v>
      </c>
      <c r="K33" s="3" t="s">
        <v>228</v>
      </c>
      <c r="L33" s="3" t="s">
        <v>71</v>
      </c>
      <c r="M33" s="3" t="s">
        <v>219</v>
      </c>
      <c r="N33" s="3" t="s">
        <v>38</v>
      </c>
      <c r="O33" s="3" t="s">
        <v>39</v>
      </c>
      <c r="P33" s="3" t="s">
        <v>162</v>
      </c>
      <c r="Q33" s="6">
        <v>0.84</v>
      </c>
      <c r="R33" s="3" t="s">
        <v>41</v>
      </c>
      <c r="S33" s="3" t="s">
        <v>229</v>
      </c>
      <c r="T33" s="3">
        <v>304</v>
      </c>
      <c r="U33" s="3" t="s">
        <v>43</v>
      </c>
      <c r="V33" s="3" t="s">
        <v>44</v>
      </c>
      <c r="W33" s="9"/>
      <c r="X33" s="9" t="s">
        <v>45</v>
      </c>
      <c r="Y33" s="9"/>
    </row>
    <row r="34" spans="1:25" ht="86" customHeight="1">
      <c r="A34" s="3" t="s">
        <v>262</v>
      </c>
      <c r="B34" s="3" t="s">
        <v>263</v>
      </c>
      <c r="C34" s="3" t="s">
        <v>264</v>
      </c>
      <c r="D34" s="3" t="s">
        <v>265</v>
      </c>
      <c r="E34" s="3" t="s">
        <v>51</v>
      </c>
      <c r="F34" s="3" t="s">
        <v>67</v>
      </c>
      <c r="G34" s="3" t="s">
        <v>68</v>
      </c>
      <c r="H34" s="3" t="s">
        <v>33</v>
      </c>
      <c r="I34" s="3" t="s">
        <v>69</v>
      </c>
      <c r="J34" s="3" t="s">
        <v>69</v>
      </c>
      <c r="K34" s="3" t="s">
        <v>260</v>
      </c>
      <c r="L34" s="3" t="s">
        <v>71</v>
      </c>
      <c r="M34" s="3" t="s">
        <v>99</v>
      </c>
      <c r="N34" s="3" t="s">
        <v>100</v>
      </c>
      <c r="O34" s="3" t="s">
        <v>51</v>
      </c>
      <c r="P34" s="3" t="s">
        <v>40</v>
      </c>
      <c r="Q34" s="6">
        <v>0.78</v>
      </c>
      <c r="R34" s="3" t="s">
        <v>41</v>
      </c>
      <c r="S34" s="3" t="s">
        <v>266</v>
      </c>
      <c r="T34" s="3">
        <v>212</v>
      </c>
      <c r="U34" s="3" t="s">
        <v>43</v>
      </c>
      <c r="V34" s="3" t="s">
        <v>44</v>
      </c>
      <c r="W34" s="9"/>
      <c r="X34" s="9" t="s">
        <v>45</v>
      </c>
      <c r="Y34" s="9"/>
    </row>
    <row r="35" spans="1:25" ht="86" customHeight="1">
      <c r="A35" s="3" t="s">
        <v>272</v>
      </c>
      <c r="B35" s="3" t="s">
        <v>273</v>
      </c>
      <c r="C35" s="3" t="s">
        <v>274</v>
      </c>
      <c r="D35" s="3" t="s">
        <v>273</v>
      </c>
      <c r="E35" s="3" t="s">
        <v>30</v>
      </c>
      <c r="F35" s="3" t="s">
        <v>67</v>
      </c>
      <c r="G35" s="3" t="s">
        <v>68</v>
      </c>
      <c r="H35" s="3" t="s">
        <v>76</v>
      </c>
      <c r="I35" s="3" t="s">
        <v>34</v>
      </c>
      <c r="J35" s="3" t="s">
        <v>69</v>
      </c>
      <c r="K35" s="3" t="s">
        <v>270</v>
      </c>
      <c r="L35" s="3" t="s">
        <v>71</v>
      </c>
      <c r="M35" s="3" t="s">
        <v>275</v>
      </c>
      <c r="N35" s="3" t="s">
        <v>38</v>
      </c>
      <c r="O35" s="3" t="s">
        <v>51</v>
      </c>
      <c r="P35" s="3" t="s">
        <v>40</v>
      </c>
      <c r="Q35" s="6">
        <v>0.84</v>
      </c>
      <c r="R35" s="3" t="s">
        <v>41</v>
      </c>
      <c r="S35" s="3" t="s">
        <v>276</v>
      </c>
      <c r="T35" s="3">
        <v>151</v>
      </c>
      <c r="U35" s="3" t="s">
        <v>43</v>
      </c>
      <c r="V35" s="3" t="s">
        <v>44</v>
      </c>
      <c r="W35" s="9"/>
      <c r="X35" s="9" t="s">
        <v>45</v>
      </c>
      <c r="Y35" s="9"/>
    </row>
    <row r="36" spans="1:25" ht="86" customHeight="1">
      <c r="A36" s="3" t="s">
        <v>277</v>
      </c>
      <c r="B36" s="3" t="s">
        <v>278</v>
      </c>
      <c r="C36" s="3" t="s">
        <v>279</v>
      </c>
      <c r="D36" s="3" t="s">
        <v>278</v>
      </c>
      <c r="E36" s="3" t="s">
        <v>30</v>
      </c>
      <c r="F36" s="3" t="s">
        <v>67</v>
      </c>
      <c r="G36" s="3" t="s">
        <v>68</v>
      </c>
      <c r="H36" s="3" t="s">
        <v>33</v>
      </c>
      <c r="I36" s="3" t="s">
        <v>69</v>
      </c>
      <c r="J36" s="3" t="s">
        <v>69</v>
      </c>
      <c r="K36" s="3" t="s">
        <v>280</v>
      </c>
      <c r="L36" s="3" t="s">
        <v>71</v>
      </c>
      <c r="M36" s="3" t="s">
        <v>281</v>
      </c>
      <c r="N36" s="3" t="s">
        <v>38</v>
      </c>
      <c r="O36" s="3" t="s">
        <v>51</v>
      </c>
      <c r="P36" s="3" t="s">
        <v>162</v>
      </c>
      <c r="Q36" s="6">
        <v>0.78</v>
      </c>
      <c r="R36" s="3" t="s">
        <v>41</v>
      </c>
      <c r="S36" s="3" t="s">
        <v>282</v>
      </c>
      <c r="T36" s="3">
        <v>175</v>
      </c>
      <c r="U36" s="3" t="s">
        <v>43</v>
      </c>
      <c r="V36" s="3" t="s">
        <v>44</v>
      </c>
      <c r="W36" s="9"/>
      <c r="X36" s="9" t="s">
        <v>45</v>
      </c>
      <c r="Y36" s="9"/>
    </row>
    <row r="37" spans="1:25" ht="86" customHeight="1">
      <c r="A37" s="3" t="s">
        <v>315</v>
      </c>
      <c r="B37" s="3" t="s">
        <v>316</v>
      </c>
      <c r="C37" s="3" t="s">
        <v>317</v>
      </c>
      <c r="D37" s="3" t="s">
        <v>318</v>
      </c>
      <c r="E37" s="3" t="s">
        <v>51</v>
      </c>
      <c r="F37" s="3" t="s">
        <v>300</v>
      </c>
      <c r="G37" s="3" t="s">
        <v>301</v>
      </c>
      <c r="H37" s="3" t="s">
        <v>33</v>
      </c>
      <c r="I37" s="3" t="s">
        <v>302</v>
      </c>
      <c r="J37" s="3" t="s">
        <v>302</v>
      </c>
      <c r="K37" s="3" t="s">
        <v>313</v>
      </c>
      <c r="L37" s="3" t="s">
        <v>319</v>
      </c>
      <c r="M37" s="3"/>
      <c r="N37" s="3" t="s">
        <v>100</v>
      </c>
      <c r="O37" s="3" t="s">
        <v>51</v>
      </c>
      <c r="P37" s="3" t="s">
        <v>40</v>
      </c>
      <c r="Q37" s="6">
        <v>0.78</v>
      </c>
      <c r="R37" s="3" t="s">
        <v>41</v>
      </c>
      <c r="S37" s="3" t="s">
        <v>320</v>
      </c>
      <c r="T37" s="3">
        <v>57</v>
      </c>
      <c r="U37" s="3" t="s">
        <v>43</v>
      </c>
      <c r="V37" s="3" t="s">
        <v>44</v>
      </c>
      <c r="W37" s="9"/>
      <c r="X37" s="9" t="s">
        <v>45</v>
      </c>
      <c r="Y37" s="9"/>
    </row>
    <row r="38" spans="1:25" ht="86" customHeight="1">
      <c r="A38" s="3" t="s">
        <v>355</v>
      </c>
      <c r="B38" s="3" t="s">
        <v>356</v>
      </c>
      <c r="C38" s="3" t="s">
        <v>357</v>
      </c>
      <c r="D38" s="3" t="s">
        <v>356</v>
      </c>
      <c r="E38" s="3" t="s">
        <v>30</v>
      </c>
      <c r="F38" s="3" t="s">
        <v>300</v>
      </c>
      <c r="G38" s="3" t="s">
        <v>301</v>
      </c>
      <c r="H38" s="3" t="s">
        <v>33</v>
      </c>
      <c r="I38" s="3" t="s">
        <v>302</v>
      </c>
      <c r="J38" s="3" t="s">
        <v>302</v>
      </c>
      <c r="K38" s="3" t="s">
        <v>353</v>
      </c>
      <c r="L38" s="3" t="s">
        <v>319</v>
      </c>
      <c r="M38" s="3"/>
      <c r="N38" s="3" t="s">
        <v>38</v>
      </c>
      <c r="O38" s="3" t="s">
        <v>51</v>
      </c>
      <c r="P38" s="3" t="s">
        <v>40</v>
      </c>
      <c r="Q38" s="6">
        <v>0.78</v>
      </c>
      <c r="R38" s="3" t="s">
        <v>41</v>
      </c>
      <c r="S38" s="3" t="s">
        <v>358</v>
      </c>
      <c r="T38" s="3">
        <v>34</v>
      </c>
      <c r="U38" s="3" t="s">
        <v>43</v>
      </c>
      <c r="V38" s="3" t="s">
        <v>44</v>
      </c>
      <c r="W38" s="9"/>
      <c r="X38" s="9" t="s">
        <v>45</v>
      </c>
      <c r="Y38" s="9"/>
    </row>
    <row r="39" spans="1:25" ht="86" customHeight="1">
      <c r="A39" s="3" t="s">
        <v>377</v>
      </c>
      <c r="B39" s="3" t="s">
        <v>378</v>
      </c>
      <c r="C39" s="3" t="s">
        <v>379</v>
      </c>
      <c r="D39" s="3" t="s">
        <v>378</v>
      </c>
      <c r="E39" s="3" t="s">
        <v>30</v>
      </c>
      <c r="F39" s="3" t="s">
        <v>367</v>
      </c>
      <c r="G39" s="3" t="s">
        <v>368</v>
      </c>
      <c r="H39" s="3" t="s">
        <v>76</v>
      </c>
      <c r="I39" s="3" t="s">
        <v>34</v>
      </c>
      <c r="J39" s="3" t="s">
        <v>369</v>
      </c>
      <c r="K39" s="3" t="s">
        <v>380</v>
      </c>
      <c r="L39" s="3" t="s">
        <v>36</v>
      </c>
      <c r="M39" s="3"/>
      <c r="N39" s="3" t="s">
        <v>38</v>
      </c>
      <c r="O39" s="3" t="s">
        <v>39</v>
      </c>
      <c r="P39" s="3" t="s">
        <v>40</v>
      </c>
      <c r="Q39" s="6">
        <v>0.84</v>
      </c>
      <c r="R39" s="3" t="s">
        <v>41</v>
      </c>
      <c r="S39" s="3" t="s">
        <v>381</v>
      </c>
      <c r="T39" s="3">
        <v>103</v>
      </c>
      <c r="U39" s="3" t="s">
        <v>43</v>
      </c>
      <c r="V39" s="3" t="s">
        <v>44</v>
      </c>
      <c r="W39" s="9"/>
      <c r="X39" s="9" t="s">
        <v>45</v>
      </c>
      <c r="Y39" s="9"/>
    </row>
    <row r="40" spans="1:25" ht="86" customHeight="1">
      <c r="A40" s="3" t="s">
        <v>382</v>
      </c>
      <c r="B40" s="3" t="s">
        <v>383</v>
      </c>
      <c r="C40" s="3" t="s">
        <v>384</v>
      </c>
      <c r="D40" s="3" t="s">
        <v>383</v>
      </c>
      <c r="E40" s="3" t="s">
        <v>30</v>
      </c>
      <c r="F40" s="3" t="s">
        <v>367</v>
      </c>
      <c r="G40" s="3" t="s">
        <v>368</v>
      </c>
      <c r="H40" s="3" t="s">
        <v>76</v>
      </c>
      <c r="I40" s="3" t="s">
        <v>34</v>
      </c>
      <c r="J40" s="3" t="s">
        <v>369</v>
      </c>
      <c r="K40" s="3" t="s">
        <v>385</v>
      </c>
      <c r="L40" s="3" t="s">
        <v>36</v>
      </c>
      <c r="M40" s="3"/>
      <c r="N40" s="3" t="s">
        <v>38</v>
      </c>
      <c r="O40" s="3" t="s">
        <v>39</v>
      </c>
      <c r="P40" s="3" t="s">
        <v>40</v>
      </c>
      <c r="Q40" s="6">
        <v>0.84</v>
      </c>
      <c r="R40" s="3" t="s">
        <v>41</v>
      </c>
      <c r="S40" s="3" t="s">
        <v>386</v>
      </c>
      <c r="T40" s="3">
        <v>280</v>
      </c>
      <c r="U40" s="3" t="s">
        <v>43</v>
      </c>
      <c r="V40" s="3" t="s">
        <v>44</v>
      </c>
      <c r="W40" s="9"/>
      <c r="X40" s="9" t="s">
        <v>45</v>
      </c>
      <c r="Y40" s="9"/>
    </row>
    <row r="41" spans="1:25" ht="86" customHeight="1">
      <c r="A41" s="3" t="s">
        <v>396</v>
      </c>
      <c r="B41" s="3" t="s">
        <v>397</v>
      </c>
      <c r="C41" s="3" t="s">
        <v>398</v>
      </c>
      <c r="D41" s="3" t="s">
        <v>397</v>
      </c>
      <c r="E41" s="3" t="s">
        <v>30</v>
      </c>
      <c r="F41" s="3" t="s">
        <v>367</v>
      </c>
      <c r="G41" s="3" t="s">
        <v>368</v>
      </c>
      <c r="H41" s="3" t="s">
        <v>76</v>
      </c>
      <c r="I41" s="3" t="s">
        <v>34</v>
      </c>
      <c r="J41" s="3" t="s">
        <v>369</v>
      </c>
      <c r="K41" s="3" t="s">
        <v>399</v>
      </c>
      <c r="L41" s="3" t="s">
        <v>319</v>
      </c>
      <c r="M41" s="3"/>
      <c r="N41" s="3" t="s">
        <v>38</v>
      </c>
      <c r="O41" s="3" t="s">
        <v>51</v>
      </c>
      <c r="P41" s="3" t="s">
        <v>40</v>
      </c>
      <c r="Q41" s="6">
        <v>0.84</v>
      </c>
      <c r="R41" s="3" t="s">
        <v>41</v>
      </c>
      <c r="S41" s="3" t="s">
        <v>400</v>
      </c>
      <c r="T41" s="3">
        <v>98</v>
      </c>
      <c r="U41" s="3" t="s">
        <v>43</v>
      </c>
      <c r="V41" s="3" t="s">
        <v>44</v>
      </c>
      <c r="W41" s="9"/>
      <c r="X41" s="9" t="s">
        <v>45</v>
      </c>
      <c r="Y41" s="9"/>
    </row>
    <row r="42" spans="1:25" ht="86" customHeight="1">
      <c r="A42" s="3" t="s">
        <v>401</v>
      </c>
      <c r="B42" s="3" t="s">
        <v>402</v>
      </c>
      <c r="C42" s="3" t="s">
        <v>403</v>
      </c>
      <c r="D42" s="3" t="s">
        <v>402</v>
      </c>
      <c r="E42" s="3" t="s">
        <v>30</v>
      </c>
      <c r="F42" s="3" t="s">
        <v>367</v>
      </c>
      <c r="G42" s="3" t="s">
        <v>368</v>
      </c>
      <c r="H42" s="3" t="s">
        <v>76</v>
      </c>
      <c r="I42" s="3" t="s">
        <v>34</v>
      </c>
      <c r="J42" s="3" t="s">
        <v>369</v>
      </c>
      <c r="K42" s="3" t="s">
        <v>404</v>
      </c>
      <c r="L42" s="3" t="s">
        <v>319</v>
      </c>
      <c r="M42" s="3"/>
      <c r="N42" s="3" t="s">
        <v>38</v>
      </c>
      <c r="O42" s="3" t="s">
        <v>51</v>
      </c>
      <c r="P42" s="3" t="s">
        <v>40</v>
      </c>
      <c r="Q42" s="6">
        <v>0.84</v>
      </c>
      <c r="R42" s="3" t="s">
        <v>41</v>
      </c>
      <c r="S42" s="3" t="s">
        <v>405</v>
      </c>
      <c r="T42" s="3">
        <v>42</v>
      </c>
      <c r="U42" s="3" t="s">
        <v>43</v>
      </c>
      <c r="V42" s="3" t="s">
        <v>44</v>
      </c>
      <c r="W42" s="9"/>
      <c r="X42" s="9" t="s">
        <v>45</v>
      </c>
      <c r="Y42" s="9"/>
    </row>
    <row r="43" spans="1:25" ht="86" customHeight="1">
      <c r="A43" s="3" t="s">
        <v>406</v>
      </c>
      <c r="B43" s="3" t="s">
        <v>407</v>
      </c>
      <c r="C43" s="3" t="s">
        <v>408</v>
      </c>
      <c r="D43" s="3" t="s">
        <v>407</v>
      </c>
      <c r="E43" s="3" t="s">
        <v>30</v>
      </c>
      <c r="F43" s="3" t="s">
        <v>367</v>
      </c>
      <c r="G43" s="3" t="s">
        <v>368</v>
      </c>
      <c r="H43" s="3" t="s">
        <v>76</v>
      </c>
      <c r="I43" s="3" t="s">
        <v>34</v>
      </c>
      <c r="J43" s="3" t="s">
        <v>369</v>
      </c>
      <c r="K43" s="3" t="s">
        <v>409</v>
      </c>
      <c r="L43" s="3" t="s">
        <v>319</v>
      </c>
      <c r="M43" s="3"/>
      <c r="N43" s="3" t="s">
        <v>38</v>
      </c>
      <c r="O43" s="3" t="s">
        <v>51</v>
      </c>
      <c r="P43" s="3" t="s">
        <v>40</v>
      </c>
      <c r="Q43" s="6">
        <v>0.84</v>
      </c>
      <c r="R43" s="3" t="s">
        <v>41</v>
      </c>
      <c r="S43" s="3" t="s">
        <v>410</v>
      </c>
      <c r="T43" s="3">
        <v>208</v>
      </c>
      <c r="U43" s="3" t="s">
        <v>43</v>
      </c>
      <c r="V43" s="3" t="s">
        <v>44</v>
      </c>
      <c r="W43" s="9"/>
      <c r="X43" s="9" t="s">
        <v>45</v>
      </c>
      <c r="Y43" s="9"/>
    </row>
    <row r="44" spans="1:25" ht="86" customHeight="1">
      <c r="A44" s="3" t="s">
        <v>416</v>
      </c>
      <c r="B44" s="3" t="s">
        <v>417</v>
      </c>
      <c r="C44" s="3" t="s">
        <v>418</v>
      </c>
      <c r="D44" s="3" t="s">
        <v>417</v>
      </c>
      <c r="E44" s="3" t="s">
        <v>30</v>
      </c>
      <c r="F44" s="3" t="s">
        <v>367</v>
      </c>
      <c r="G44" s="3" t="s">
        <v>368</v>
      </c>
      <c r="H44" s="3" t="s">
        <v>76</v>
      </c>
      <c r="I44" s="3" t="s">
        <v>34</v>
      </c>
      <c r="J44" s="3" t="s">
        <v>369</v>
      </c>
      <c r="K44" s="3" t="s">
        <v>419</v>
      </c>
      <c r="L44" s="3" t="s">
        <v>62</v>
      </c>
      <c r="M44" s="3"/>
      <c r="N44" s="3" t="s">
        <v>38</v>
      </c>
      <c r="O44" s="3" t="s">
        <v>51</v>
      </c>
      <c r="P44" s="3" t="s">
        <v>40</v>
      </c>
      <c r="Q44" s="6">
        <v>0.84</v>
      </c>
      <c r="R44" s="3" t="s">
        <v>41</v>
      </c>
      <c r="S44" s="3" t="s">
        <v>420</v>
      </c>
      <c r="T44" s="3">
        <v>82</v>
      </c>
      <c r="U44" s="3" t="s">
        <v>43</v>
      </c>
      <c r="V44" s="3" t="s">
        <v>44</v>
      </c>
      <c r="W44" s="9"/>
      <c r="X44" s="9" t="s">
        <v>45</v>
      </c>
      <c r="Y44" s="9"/>
    </row>
    <row r="45" spans="1:25" ht="86" customHeight="1">
      <c r="A45" s="3" t="s">
        <v>436</v>
      </c>
      <c r="B45" s="3" t="s">
        <v>437</v>
      </c>
      <c r="C45" s="3" t="s">
        <v>438</v>
      </c>
      <c r="D45" s="3" t="s">
        <v>437</v>
      </c>
      <c r="E45" s="3" t="s">
        <v>30</v>
      </c>
      <c r="F45" s="3" t="s">
        <v>367</v>
      </c>
      <c r="G45" s="3" t="s">
        <v>368</v>
      </c>
      <c r="H45" s="3" t="s">
        <v>33</v>
      </c>
      <c r="I45" s="3" t="s">
        <v>369</v>
      </c>
      <c r="J45" s="3" t="s">
        <v>369</v>
      </c>
      <c r="K45" s="3" t="s">
        <v>439</v>
      </c>
      <c r="L45" s="3" t="s">
        <v>319</v>
      </c>
      <c r="M45" s="3"/>
      <c r="N45" s="3" t="s">
        <v>38</v>
      </c>
      <c r="O45" s="3" t="s">
        <v>51</v>
      </c>
      <c r="P45" s="3" t="s">
        <v>40</v>
      </c>
      <c r="Q45" s="6">
        <v>0.78</v>
      </c>
      <c r="R45" s="3" t="s">
        <v>41</v>
      </c>
      <c r="S45" s="3" t="s">
        <v>440</v>
      </c>
      <c r="T45" s="3">
        <v>103</v>
      </c>
      <c r="U45" s="3" t="s">
        <v>43</v>
      </c>
      <c r="V45" s="3" t="s">
        <v>44</v>
      </c>
      <c r="W45" s="9"/>
      <c r="X45" s="9" t="s">
        <v>45</v>
      </c>
      <c r="Y45" s="9"/>
    </row>
    <row r="46" spans="1:25" ht="86" customHeight="1">
      <c r="A46" s="3" t="s">
        <v>441</v>
      </c>
      <c r="B46" s="3" t="s">
        <v>442</v>
      </c>
      <c r="C46" s="3" t="s">
        <v>443</v>
      </c>
      <c r="D46" s="3" t="s">
        <v>442</v>
      </c>
      <c r="E46" s="3" t="s">
        <v>30</v>
      </c>
      <c r="F46" s="3" t="s">
        <v>444</v>
      </c>
      <c r="G46" s="3" t="s">
        <v>445</v>
      </c>
      <c r="H46" s="3" t="s">
        <v>76</v>
      </c>
      <c r="I46" s="3" t="s">
        <v>34</v>
      </c>
      <c r="J46" s="3" t="s">
        <v>446</v>
      </c>
      <c r="K46" s="3" t="s">
        <v>447</v>
      </c>
      <c r="L46" s="3" t="s">
        <v>319</v>
      </c>
      <c r="M46" s="3"/>
      <c r="N46" s="3" t="s">
        <v>38</v>
      </c>
      <c r="O46" s="3" t="s">
        <v>39</v>
      </c>
      <c r="P46" s="3" t="s">
        <v>40</v>
      </c>
      <c r="Q46" s="6">
        <v>0.84</v>
      </c>
      <c r="R46" s="3" t="s">
        <v>41</v>
      </c>
      <c r="S46" s="3" t="s">
        <v>448</v>
      </c>
      <c r="T46" s="3">
        <v>406</v>
      </c>
      <c r="U46" s="3" t="s">
        <v>43</v>
      </c>
      <c r="V46" s="3" t="s">
        <v>44</v>
      </c>
      <c r="W46" s="9"/>
      <c r="X46" s="9" t="s">
        <v>45</v>
      </c>
      <c r="Y46" s="9"/>
    </row>
    <row r="47" spans="1:25" ht="86" customHeight="1">
      <c r="A47" s="3" t="s">
        <v>464</v>
      </c>
      <c r="B47" s="3" t="s">
        <v>465</v>
      </c>
      <c r="C47" s="3" t="s">
        <v>466</v>
      </c>
      <c r="D47" s="3" t="s">
        <v>465</v>
      </c>
      <c r="E47" s="3" t="s">
        <v>30</v>
      </c>
      <c r="F47" s="3" t="s">
        <v>444</v>
      </c>
      <c r="G47" s="3" t="s">
        <v>445</v>
      </c>
      <c r="H47" s="3" t="s">
        <v>76</v>
      </c>
      <c r="I47" s="3" t="s">
        <v>34</v>
      </c>
      <c r="J47" s="3" t="s">
        <v>446</v>
      </c>
      <c r="K47" s="3" t="s">
        <v>462</v>
      </c>
      <c r="L47" s="3" t="s">
        <v>319</v>
      </c>
      <c r="M47" s="3"/>
      <c r="N47" s="3" t="s">
        <v>38</v>
      </c>
      <c r="O47" s="3" t="s">
        <v>51</v>
      </c>
      <c r="P47" s="3" t="s">
        <v>40</v>
      </c>
      <c r="Q47" s="6">
        <v>0.84</v>
      </c>
      <c r="R47" s="3" t="s">
        <v>41</v>
      </c>
      <c r="S47" s="3" t="s">
        <v>467</v>
      </c>
      <c r="T47" s="3">
        <v>25</v>
      </c>
      <c r="U47" s="3" t="s">
        <v>43</v>
      </c>
      <c r="V47" s="3" t="s">
        <v>44</v>
      </c>
      <c r="W47" s="9"/>
      <c r="X47" s="9" t="s">
        <v>45</v>
      </c>
      <c r="Y47" s="9"/>
    </row>
    <row r="48" spans="1:25" ht="86" customHeight="1">
      <c r="A48" s="3" t="s">
        <v>468</v>
      </c>
      <c r="B48" s="3" t="s">
        <v>469</v>
      </c>
      <c r="C48" s="3" t="s">
        <v>470</v>
      </c>
      <c r="D48" s="3" t="s">
        <v>469</v>
      </c>
      <c r="E48" s="3" t="s">
        <v>30</v>
      </c>
      <c r="F48" s="3" t="s">
        <v>444</v>
      </c>
      <c r="G48" s="3" t="s">
        <v>445</v>
      </c>
      <c r="H48" s="3" t="s">
        <v>76</v>
      </c>
      <c r="I48" s="3" t="s">
        <v>34</v>
      </c>
      <c r="J48" s="3" t="s">
        <v>446</v>
      </c>
      <c r="K48" s="3" t="s">
        <v>471</v>
      </c>
      <c r="L48" s="3" t="s">
        <v>50</v>
      </c>
      <c r="M48" s="3" t="s">
        <v>62</v>
      </c>
      <c r="N48" s="3" t="s">
        <v>38</v>
      </c>
      <c r="O48" s="3" t="s">
        <v>51</v>
      </c>
      <c r="P48" s="3" t="s">
        <v>40</v>
      </c>
      <c r="Q48" s="6">
        <v>0.84</v>
      </c>
      <c r="R48" s="3" t="s">
        <v>41</v>
      </c>
      <c r="S48" s="3" t="s">
        <v>472</v>
      </c>
      <c r="T48" s="3">
        <v>183</v>
      </c>
      <c r="U48" s="3" t="s">
        <v>43</v>
      </c>
      <c r="V48" s="3" t="s">
        <v>44</v>
      </c>
      <c r="W48" s="9"/>
      <c r="X48" s="9" t="s">
        <v>45</v>
      </c>
      <c r="Y48" s="9"/>
    </row>
    <row r="49" spans="1:25" ht="86" customHeight="1">
      <c r="A49" s="3" t="s">
        <v>478</v>
      </c>
      <c r="B49" s="3" t="s">
        <v>479</v>
      </c>
      <c r="C49" s="3" t="s">
        <v>480</v>
      </c>
      <c r="D49" s="3" t="s">
        <v>479</v>
      </c>
      <c r="E49" s="3" t="s">
        <v>30</v>
      </c>
      <c r="F49" s="3" t="s">
        <v>444</v>
      </c>
      <c r="G49" s="3" t="s">
        <v>445</v>
      </c>
      <c r="H49" s="3" t="s">
        <v>76</v>
      </c>
      <c r="I49" s="3" t="s">
        <v>34</v>
      </c>
      <c r="J49" s="3" t="s">
        <v>446</v>
      </c>
      <c r="K49" s="3" t="s">
        <v>481</v>
      </c>
      <c r="L49" s="3" t="s">
        <v>50</v>
      </c>
      <c r="M49" s="3"/>
      <c r="N49" s="3" t="s">
        <v>38</v>
      </c>
      <c r="O49" s="3" t="s">
        <v>51</v>
      </c>
      <c r="P49" s="3" t="s">
        <v>40</v>
      </c>
      <c r="Q49" s="6">
        <v>0.84</v>
      </c>
      <c r="R49" s="3" t="s">
        <v>41</v>
      </c>
      <c r="S49" s="3" t="s">
        <v>482</v>
      </c>
      <c r="T49" s="3">
        <v>109</v>
      </c>
      <c r="U49" s="3" t="s">
        <v>43</v>
      </c>
      <c r="V49" s="3" t="s">
        <v>44</v>
      </c>
      <c r="W49" s="9"/>
      <c r="X49" s="9" t="s">
        <v>45</v>
      </c>
      <c r="Y49" s="9"/>
    </row>
    <row r="50" spans="1:25" ht="86" customHeight="1">
      <c r="A50" s="3" t="s">
        <v>483</v>
      </c>
      <c r="B50" s="3" t="s">
        <v>484</v>
      </c>
      <c r="C50" s="3" t="s">
        <v>485</v>
      </c>
      <c r="D50" s="3" t="s">
        <v>484</v>
      </c>
      <c r="E50" s="3" t="s">
        <v>30</v>
      </c>
      <c r="F50" s="3" t="s">
        <v>444</v>
      </c>
      <c r="G50" s="3" t="s">
        <v>445</v>
      </c>
      <c r="H50" s="3" t="s">
        <v>76</v>
      </c>
      <c r="I50" s="3" t="s">
        <v>34</v>
      </c>
      <c r="J50" s="3" t="s">
        <v>446</v>
      </c>
      <c r="K50" s="3" t="s">
        <v>486</v>
      </c>
      <c r="L50" s="3" t="s">
        <v>319</v>
      </c>
      <c r="M50" s="3"/>
      <c r="N50" s="3" t="s">
        <v>38</v>
      </c>
      <c r="O50" s="3" t="s">
        <v>39</v>
      </c>
      <c r="P50" s="3" t="s">
        <v>40</v>
      </c>
      <c r="Q50" s="6">
        <v>0.84</v>
      </c>
      <c r="R50" s="3" t="s">
        <v>41</v>
      </c>
      <c r="S50" s="3" t="s">
        <v>487</v>
      </c>
      <c r="T50" s="3">
        <v>209</v>
      </c>
      <c r="U50" s="3" t="s">
        <v>43</v>
      </c>
      <c r="V50" s="3" t="s">
        <v>44</v>
      </c>
      <c r="W50" s="9"/>
      <c r="X50" s="9" t="s">
        <v>45</v>
      </c>
      <c r="Y50" s="9"/>
    </row>
    <row r="51" spans="1:25" ht="86" customHeight="1">
      <c r="A51" s="3" t="s">
        <v>488</v>
      </c>
      <c r="B51" s="3" t="s">
        <v>489</v>
      </c>
      <c r="C51" s="3" t="s">
        <v>490</v>
      </c>
      <c r="D51" s="3" t="s">
        <v>491</v>
      </c>
      <c r="E51" s="3" t="s">
        <v>51</v>
      </c>
      <c r="F51" s="3" t="s">
        <v>444</v>
      </c>
      <c r="G51" s="3" t="s">
        <v>445</v>
      </c>
      <c r="H51" s="3" t="s">
        <v>33</v>
      </c>
      <c r="I51" s="3" t="s">
        <v>446</v>
      </c>
      <c r="J51" s="3" t="s">
        <v>446</v>
      </c>
      <c r="K51" s="3" t="s">
        <v>492</v>
      </c>
      <c r="L51" s="3" t="s">
        <v>319</v>
      </c>
      <c r="M51" s="3"/>
      <c r="N51" s="3" t="s">
        <v>100</v>
      </c>
      <c r="O51" s="3" t="s">
        <v>51</v>
      </c>
      <c r="P51" s="3" t="s">
        <v>40</v>
      </c>
      <c r="Q51" s="6">
        <v>0.78</v>
      </c>
      <c r="R51" s="3" t="s">
        <v>41</v>
      </c>
      <c r="S51" s="3" t="s">
        <v>493</v>
      </c>
      <c r="T51" s="3">
        <v>46</v>
      </c>
      <c r="U51" s="3" t="s">
        <v>43</v>
      </c>
      <c r="V51" s="3" t="s">
        <v>44</v>
      </c>
      <c r="W51" s="9"/>
      <c r="X51" s="9" t="s">
        <v>45</v>
      </c>
      <c r="Y51" s="9"/>
    </row>
    <row r="52" spans="1:25" ht="86" customHeight="1">
      <c r="A52" s="3" t="s">
        <v>494</v>
      </c>
      <c r="B52" s="3" t="s">
        <v>495</v>
      </c>
      <c r="C52" s="3" t="s">
        <v>496</v>
      </c>
      <c r="D52" s="3" t="s">
        <v>495</v>
      </c>
      <c r="E52" s="3" t="s">
        <v>30</v>
      </c>
      <c r="F52" s="3" t="s">
        <v>444</v>
      </c>
      <c r="G52" s="3" t="s">
        <v>445</v>
      </c>
      <c r="H52" s="3" t="s">
        <v>33</v>
      </c>
      <c r="I52" s="3" t="s">
        <v>446</v>
      </c>
      <c r="J52" s="3" t="s">
        <v>446</v>
      </c>
      <c r="K52" s="3" t="s">
        <v>497</v>
      </c>
      <c r="L52" s="3" t="s">
        <v>62</v>
      </c>
      <c r="M52" s="3"/>
      <c r="N52" s="3" t="s">
        <v>38</v>
      </c>
      <c r="O52" s="3" t="s">
        <v>51</v>
      </c>
      <c r="P52" s="3" t="s">
        <v>40</v>
      </c>
      <c r="Q52" s="6">
        <v>0.78</v>
      </c>
      <c r="R52" s="3" t="s">
        <v>41</v>
      </c>
      <c r="S52" s="3" t="s">
        <v>498</v>
      </c>
      <c r="T52" s="3">
        <v>32</v>
      </c>
      <c r="U52" s="3" t="s">
        <v>43</v>
      </c>
      <c r="V52" s="3" t="s">
        <v>44</v>
      </c>
      <c r="W52" s="9"/>
      <c r="X52" s="9" t="s">
        <v>45</v>
      </c>
      <c r="Y52" s="9"/>
    </row>
    <row r="53" spans="1:25" ht="86" customHeight="1">
      <c r="A53" s="3" t="s">
        <v>499</v>
      </c>
      <c r="B53" s="3" t="s">
        <v>500</v>
      </c>
      <c r="C53" s="3" t="s">
        <v>501</v>
      </c>
      <c r="D53" s="3" t="s">
        <v>500</v>
      </c>
      <c r="E53" s="3" t="s">
        <v>30</v>
      </c>
      <c r="F53" s="3" t="s">
        <v>444</v>
      </c>
      <c r="G53" s="3" t="s">
        <v>445</v>
      </c>
      <c r="H53" s="3" t="s">
        <v>33</v>
      </c>
      <c r="I53" s="3" t="s">
        <v>446</v>
      </c>
      <c r="J53" s="3" t="s">
        <v>446</v>
      </c>
      <c r="K53" s="3" t="s">
        <v>502</v>
      </c>
      <c r="L53" s="3" t="s">
        <v>319</v>
      </c>
      <c r="M53" s="3"/>
      <c r="N53" s="3" t="s">
        <v>38</v>
      </c>
      <c r="O53" s="3" t="s">
        <v>51</v>
      </c>
      <c r="P53" s="3" t="s">
        <v>40</v>
      </c>
      <c r="Q53" s="6">
        <v>0.78</v>
      </c>
      <c r="R53" s="3" t="s">
        <v>41</v>
      </c>
      <c r="S53" s="3" t="s">
        <v>503</v>
      </c>
      <c r="T53" s="3">
        <v>40</v>
      </c>
      <c r="U53" s="3" t="s">
        <v>43</v>
      </c>
      <c r="V53" s="3" t="s">
        <v>44</v>
      </c>
      <c r="W53" s="9"/>
      <c r="X53" s="9" t="s">
        <v>45</v>
      </c>
      <c r="Y53" s="9"/>
    </row>
    <row r="54" spans="1:25" ht="86" customHeight="1">
      <c r="A54" s="3" t="s">
        <v>519</v>
      </c>
      <c r="B54" s="3" t="s">
        <v>520</v>
      </c>
      <c r="C54" s="3" t="s">
        <v>521</v>
      </c>
      <c r="D54" s="3" t="s">
        <v>520</v>
      </c>
      <c r="E54" s="3" t="s">
        <v>30</v>
      </c>
      <c r="F54" s="3" t="s">
        <v>444</v>
      </c>
      <c r="G54" s="3" t="s">
        <v>445</v>
      </c>
      <c r="H54" s="3" t="s">
        <v>76</v>
      </c>
      <c r="I54" s="3" t="s">
        <v>34</v>
      </c>
      <c r="J54" s="3" t="s">
        <v>446</v>
      </c>
      <c r="K54" s="3" t="s">
        <v>517</v>
      </c>
      <c r="L54" s="3" t="s">
        <v>219</v>
      </c>
      <c r="M54" s="3"/>
      <c r="N54" s="3" t="s">
        <v>38</v>
      </c>
      <c r="O54" s="3" t="s">
        <v>51</v>
      </c>
      <c r="P54" s="3" t="s">
        <v>162</v>
      </c>
      <c r="Q54" s="6">
        <v>0.84</v>
      </c>
      <c r="R54" s="3" t="s">
        <v>41</v>
      </c>
      <c r="S54" s="3" t="s">
        <v>522</v>
      </c>
      <c r="T54" s="3">
        <v>140</v>
      </c>
      <c r="U54" s="3" t="s">
        <v>43</v>
      </c>
      <c r="V54" s="3" t="s">
        <v>44</v>
      </c>
      <c r="W54" s="9"/>
      <c r="X54" s="9" t="s">
        <v>45</v>
      </c>
      <c r="Y54" s="9"/>
    </row>
    <row r="55" spans="1:25" ht="86" customHeight="1">
      <c r="A55" s="3" t="s">
        <v>537</v>
      </c>
      <c r="B55" s="3" t="s">
        <v>538</v>
      </c>
      <c r="C55" s="3" t="s">
        <v>539</v>
      </c>
      <c r="D55" s="3" t="s">
        <v>538</v>
      </c>
      <c r="E55" s="3" t="s">
        <v>30</v>
      </c>
      <c r="F55" s="3" t="s">
        <v>444</v>
      </c>
      <c r="G55" s="3" t="s">
        <v>445</v>
      </c>
      <c r="H55" s="3" t="s">
        <v>76</v>
      </c>
      <c r="I55" s="3" t="s">
        <v>34</v>
      </c>
      <c r="J55" s="3" t="s">
        <v>446</v>
      </c>
      <c r="K55" s="3" t="s">
        <v>540</v>
      </c>
      <c r="L55" s="3" t="s">
        <v>62</v>
      </c>
      <c r="M55" s="3"/>
      <c r="N55" s="3" t="s">
        <v>38</v>
      </c>
      <c r="O55" s="3" t="s">
        <v>51</v>
      </c>
      <c r="P55" s="3" t="s">
        <v>40</v>
      </c>
      <c r="Q55" s="6">
        <v>0.84</v>
      </c>
      <c r="R55" s="3" t="s">
        <v>41</v>
      </c>
      <c r="S55" s="3" t="s">
        <v>541</v>
      </c>
      <c r="T55" s="3">
        <v>121</v>
      </c>
      <c r="U55" s="3" t="s">
        <v>43</v>
      </c>
      <c r="V55" s="3" t="s">
        <v>44</v>
      </c>
      <c r="W55" s="9"/>
      <c r="X55" s="9" t="s">
        <v>45</v>
      </c>
      <c r="Y55" s="9"/>
    </row>
    <row r="56" spans="1:25" ht="86" customHeight="1">
      <c r="A56" s="3" t="s">
        <v>561</v>
      </c>
      <c r="B56" s="3" t="s">
        <v>562</v>
      </c>
      <c r="C56" s="3" t="s">
        <v>563</v>
      </c>
      <c r="D56" s="3" t="s">
        <v>562</v>
      </c>
      <c r="E56" s="3" t="s">
        <v>30</v>
      </c>
      <c r="F56" s="3" t="s">
        <v>444</v>
      </c>
      <c r="G56" s="3" t="s">
        <v>445</v>
      </c>
      <c r="H56" s="3" t="s">
        <v>76</v>
      </c>
      <c r="I56" s="3" t="s">
        <v>34</v>
      </c>
      <c r="J56" s="3" t="s">
        <v>446</v>
      </c>
      <c r="K56" s="3" t="s">
        <v>564</v>
      </c>
      <c r="L56" s="3" t="s">
        <v>62</v>
      </c>
      <c r="M56" s="3"/>
      <c r="N56" s="3" t="s">
        <v>38</v>
      </c>
      <c r="O56" s="3" t="s">
        <v>39</v>
      </c>
      <c r="P56" s="3" t="s">
        <v>40</v>
      </c>
      <c r="Q56" s="6">
        <v>0.84</v>
      </c>
      <c r="R56" s="3" t="s">
        <v>41</v>
      </c>
      <c r="S56" s="3" t="s">
        <v>565</v>
      </c>
      <c r="T56" s="3">
        <v>135</v>
      </c>
      <c r="U56" s="3" t="s">
        <v>43</v>
      </c>
      <c r="V56" s="3" t="s">
        <v>44</v>
      </c>
      <c r="W56" s="9"/>
      <c r="X56" s="9" t="s">
        <v>45</v>
      </c>
      <c r="Y56" s="9"/>
    </row>
    <row r="57" spans="1:25" ht="86" customHeight="1">
      <c r="A57" s="3" t="s">
        <v>576</v>
      </c>
      <c r="B57" s="3" t="s">
        <v>577</v>
      </c>
      <c r="C57" s="3" t="s">
        <v>578</v>
      </c>
      <c r="D57" s="3" t="s">
        <v>577</v>
      </c>
      <c r="E57" s="3" t="s">
        <v>30</v>
      </c>
      <c r="F57" s="3" t="s">
        <v>444</v>
      </c>
      <c r="G57" s="3" t="s">
        <v>445</v>
      </c>
      <c r="H57" s="3" t="s">
        <v>33</v>
      </c>
      <c r="I57" s="3" t="s">
        <v>34</v>
      </c>
      <c r="J57" s="3" t="s">
        <v>34</v>
      </c>
      <c r="K57" s="3" t="s">
        <v>579</v>
      </c>
      <c r="L57" s="3" t="s">
        <v>319</v>
      </c>
      <c r="M57" s="3"/>
      <c r="N57" s="3" t="s">
        <v>100</v>
      </c>
      <c r="O57" s="3" t="s">
        <v>51</v>
      </c>
      <c r="P57" s="3" t="s">
        <v>40</v>
      </c>
      <c r="Q57" s="6">
        <v>0.78</v>
      </c>
      <c r="R57" s="3" t="s">
        <v>41</v>
      </c>
      <c r="S57" s="3" t="s">
        <v>580</v>
      </c>
      <c r="T57" s="3">
        <v>36</v>
      </c>
      <c r="U57" s="3" t="s">
        <v>43</v>
      </c>
      <c r="V57" s="3" t="s">
        <v>44</v>
      </c>
      <c r="W57" s="9"/>
      <c r="X57" s="9" t="s">
        <v>45</v>
      </c>
      <c r="Y57" s="9"/>
    </row>
    <row r="58" spans="1:25" ht="86" customHeight="1">
      <c r="A58" s="3" t="s">
        <v>601</v>
      </c>
      <c r="B58" s="3" t="s">
        <v>602</v>
      </c>
      <c r="C58" s="3" t="s">
        <v>603</v>
      </c>
      <c r="D58" s="3" t="s">
        <v>602</v>
      </c>
      <c r="E58" s="3" t="s">
        <v>30</v>
      </c>
      <c r="F58" s="3" t="s">
        <v>444</v>
      </c>
      <c r="G58" s="3" t="s">
        <v>445</v>
      </c>
      <c r="H58" s="3" t="s">
        <v>33</v>
      </c>
      <c r="I58" s="3" t="s">
        <v>34</v>
      </c>
      <c r="J58" s="3" t="s">
        <v>34</v>
      </c>
      <c r="K58" s="3" t="s">
        <v>604</v>
      </c>
      <c r="L58" s="3" t="s">
        <v>319</v>
      </c>
      <c r="M58" s="3"/>
      <c r="N58" s="3" t="s">
        <v>38</v>
      </c>
      <c r="O58" s="3" t="s">
        <v>51</v>
      </c>
      <c r="P58" s="3" t="s">
        <v>40</v>
      </c>
      <c r="Q58" s="6">
        <v>0.78</v>
      </c>
      <c r="R58" s="3" t="s">
        <v>41</v>
      </c>
      <c r="S58" s="3" t="s">
        <v>605</v>
      </c>
      <c r="T58" s="3">
        <v>34</v>
      </c>
      <c r="U58" s="3" t="s">
        <v>43</v>
      </c>
      <c r="V58" s="3" t="s">
        <v>44</v>
      </c>
      <c r="W58" s="9"/>
      <c r="X58" s="9" t="s">
        <v>45</v>
      </c>
      <c r="Y58" s="9"/>
    </row>
    <row r="59" spans="1:25" ht="86" customHeight="1">
      <c r="A59" s="3" t="s">
        <v>624</v>
      </c>
      <c r="B59" s="3" t="s">
        <v>625</v>
      </c>
      <c r="C59" s="3" t="s">
        <v>626</v>
      </c>
      <c r="D59" s="3" t="s">
        <v>625</v>
      </c>
      <c r="E59" s="3" t="s">
        <v>30</v>
      </c>
      <c r="F59" s="3" t="s">
        <v>619</v>
      </c>
      <c r="G59" s="3" t="s">
        <v>620</v>
      </c>
      <c r="H59" s="3" t="s">
        <v>76</v>
      </c>
      <c r="I59" s="3" t="s">
        <v>34</v>
      </c>
      <c r="J59" s="3" t="s">
        <v>621</v>
      </c>
      <c r="K59" s="3" t="s">
        <v>627</v>
      </c>
      <c r="L59" s="3" t="s">
        <v>49</v>
      </c>
      <c r="M59" s="3" t="s">
        <v>628</v>
      </c>
      <c r="N59" s="3" t="s">
        <v>38</v>
      </c>
      <c r="O59" s="3" t="s">
        <v>51</v>
      </c>
      <c r="P59" s="3" t="s">
        <v>40</v>
      </c>
      <c r="Q59" s="6">
        <v>0.84</v>
      </c>
      <c r="R59" s="3" t="s">
        <v>41</v>
      </c>
      <c r="S59" s="3" t="s">
        <v>629</v>
      </c>
      <c r="T59" s="3">
        <v>147</v>
      </c>
      <c r="U59" s="3" t="s">
        <v>43</v>
      </c>
      <c r="V59" s="3" t="s">
        <v>44</v>
      </c>
      <c r="W59" s="9"/>
      <c r="X59" s="9" t="s">
        <v>45</v>
      </c>
      <c r="Y59" s="9"/>
    </row>
    <row r="60" spans="1:25" ht="86" customHeight="1">
      <c r="A60" s="3" t="s">
        <v>630</v>
      </c>
      <c r="B60" s="3" t="s">
        <v>631</v>
      </c>
      <c r="C60" s="3" t="s">
        <v>632</v>
      </c>
      <c r="D60" s="3" t="s">
        <v>631</v>
      </c>
      <c r="E60" s="3" t="s">
        <v>30</v>
      </c>
      <c r="F60" s="3" t="s">
        <v>619</v>
      </c>
      <c r="G60" s="3" t="s">
        <v>620</v>
      </c>
      <c r="H60" s="3" t="s">
        <v>33</v>
      </c>
      <c r="I60" s="3" t="s">
        <v>621</v>
      </c>
      <c r="J60" s="3" t="s">
        <v>621</v>
      </c>
      <c r="K60" s="3" t="s">
        <v>627</v>
      </c>
      <c r="L60" s="3" t="s">
        <v>49</v>
      </c>
      <c r="M60" s="3" t="s">
        <v>36</v>
      </c>
      <c r="N60" s="3" t="s">
        <v>38</v>
      </c>
      <c r="O60" s="3" t="s">
        <v>51</v>
      </c>
      <c r="P60" s="3" t="s">
        <v>40</v>
      </c>
      <c r="Q60" s="6">
        <v>0.78</v>
      </c>
      <c r="R60" s="3" t="s">
        <v>41</v>
      </c>
      <c r="S60" s="3" t="s">
        <v>633</v>
      </c>
      <c r="T60" s="3">
        <v>24</v>
      </c>
      <c r="U60" s="3" t="s">
        <v>43</v>
      </c>
      <c r="V60" s="3" t="s">
        <v>44</v>
      </c>
      <c r="W60" s="9"/>
      <c r="X60" s="9" t="s">
        <v>45</v>
      </c>
      <c r="Y60" s="9"/>
    </row>
    <row r="61" spans="1:25" ht="86" customHeight="1">
      <c r="A61" s="3" t="s">
        <v>634</v>
      </c>
      <c r="B61" s="3" t="s">
        <v>635</v>
      </c>
      <c r="C61" s="3" t="s">
        <v>636</v>
      </c>
      <c r="D61" s="3" t="s">
        <v>635</v>
      </c>
      <c r="E61" s="3" t="s">
        <v>30</v>
      </c>
      <c r="F61" s="3" t="s">
        <v>619</v>
      </c>
      <c r="G61" s="3" t="s">
        <v>620</v>
      </c>
      <c r="H61" s="3" t="s">
        <v>76</v>
      </c>
      <c r="I61" s="3" t="s">
        <v>34</v>
      </c>
      <c r="J61" s="3" t="s">
        <v>621</v>
      </c>
      <c r="K61" s="3" t="s">
        <v>637</v>
      </c>
      <c r="L61" s="3" t="s">
        <v>49</v>
      </c>
      <c r="M61" s="3"/>
      <c r="N61" s="3" t="s">
        <v>38</v>
      </c>
      <c r="O61" s="3" t="s">
        <v>39</v>
      </c>
      <c r="P61" s="3" t="s">
        <v>40</v>
      </c>
      <c r="Q61" s="6">
        <v>0.84</v>
      </c>
      <c r="R61" s="3" t="s">
        <v>41</v>
      </c>
      <c r="S61" s="3" t="s">
        <v>638</v>
      </c>
      <c r="T61" s="3">
        <v>17</v>
      </c>
      <c r="U61" s="3" t="s">
        <v>43</v>
      </c>
      <c r="V61" s="3" t="s">
        <v>44</v>
      </c>
      <c r="W61" s="9"/>
      <c r="X61" s="9" t="s">
        <v>45</v>
      </c>
      <c r="Y61" s="9"/>
    </row>
    <row r="62" spans="1:25" ht="86" customHeight="1">
      <c r="A62" s="3" t="s">
        <v>639</v>
      </c>
      <c r="B62" s="3" t="s">
        <v>640</v>
      </c>
      <c r="C62" s="3" t="s">
        <v>641</v>
      </c>
      <c r="D62" s="3" t="s">
        <v>640</v>
      </c>
      <c r="E62" s="3" t="s">
        <v>30</v>
      </c>
      <c r="F62" s="3" t="s">
        <v>619</v>
      </c>
      <c r="G62" s="3" t="s">
        <v>620</v>
      </c>
      <c r="H62" s="3" t="s">
        <v>76</v>
      </c>
      <c r="I62" s="3" t="s">
        <v>34</v>
      </c>
      <c r="J62" s="3" t="s">
        <v>621</v>
      </c>
      <c r="K62" s="3" t="s">
        <v>642</v>
      </c>
      <c r="L62" s="3" t="s">
        <v>49</v>
      </c>
      <c r="M62" s="3"/>
      <c r="N62" s="3" t="s">
        <v>38</v>
      </c>
      <c r="O62" s="3" t="s">
        <v>51</v>
      </c>
      <c r="P62" s="3" t="s">
        <v>40</v>
      </c>
      <c r="Q62" s="6">
        <v>0.84</v>
      </c>
      <c r="R62" s="3" t="s">
        <v>41</v>
      </c>
      <c r="S62" s="3" t="s">
        <v>643</v>
      </c>
      <c r="T62" s="3">
        <v>36</v>
      </c>
      <c r="U62" s="3" t="s">
        <v>43</v>
      </c>
      <c r="V62" s="3" t="s">
        <v>44</v>
      </c>
      <c r="W62" s="9"/>
      <c r="X62" s="9" t="s">
        <v>45</v>
      </c>
      <c r="Y62" s="9"/>
    </row>
    <row r="63" spans="1:25" ht="86" customHeight="1">
      <c r="A63" s="3" t="s">
        <v>644</v>
      </c>
      <c r="B63" s="3" t="s">
        <v>645</v>
      </c>
      <c r="C63" s="3" t="s">
        <v>646</v>
      </c>
      <c r="D63" s="3" t="s">
        <v>645</v>
      </c>
      <c r="E63" s="3" t="s">
        <v>30</v>
      </c>
      <c r="F63" s="3" t="s">
        <v>619</v>
      </c>
      <c r="G63" s="3" t="s">
        <v>620</v>
      </c>
      <c r="H63" s="3" t="s">
        <v>76</v>
      </c>
      <c r="I63" s="3" t="s">
        <v>34</v>
      </c>
      <c r="J63" s="3" t="s">
        <v>621</v>
      </c>
      <c r="K63" s="3" t="s">
        <v>647</v>
      </c>
      <c r="L63" s="3" t="s">
        <v>49</v>
      </c>
      <c r="M63" s="3" t="s">
        <v>62</v>
      </c>
      <c r="N63" s="3" t="s">
        <v>38</v>
      </c>
      <c r="O63" s="3" t="s">
        <v>39</v>
      </c>
      <c r="P63" s="3" t="s">
        <v>40</v>
      </c>
      <c r="Q63" s="6">
        <v>0.84</v>
      </c>
      <c r="R63" s="3" t="s">
        <v>41</v>
      </c>
      <c r="S63" s="3" t="s">
        <v>648</v>
      </c>
      <c r="T63" s="3">
        <v>407</v>
      </c>
      <c r="U63" s="3" t="s">
        <v>43</v>
      </c>
      <c r="V63" s="3" t="s">
        <v>44</v>
      </c>
      <c r="W63" s="9"/>
      <c r="X63" s="9" t="s">
        <v>45</v>
      </c>
      <c r="Y63" s="9"/>
    </row>
    <row r="64" spans="1:25" ht="86" customHeight="1">
      <c r="A64" s="3" t="s">
        <v>649</v>
      </c>
      <c r="B64" s="3" t="s">
        <v>650</v>
      </c>
      <c r="C64" s="3" t="s">
        <v>651</v>
      </c>
      <c r="D64" s="3" t="s">
        <v>650</v>
      </c>
      <c r="E64" s="3" t="s">
        <v>30</v>
      </c>
      <c r="F64" s="3" t="s">
        <v>619</v>
      </c>
      <c r="G64" s="3" t="s">
        <v>620</v>
      </c>
      <c r="H64" s="3" t="s">
        <v>76</v>
      </c>
      <c r="I64" s="3" t="s">
        <v>34</v>
      </c>
      <c r="J64" s="3" t="s">
        <v>621</v>
      </c>
      <c r="K64" s="3" t="s">
        <v>652</v>
      </c>
      <c r="L64" s="3" t="s">
        <v>49</v>
      </c>
      <c r="M64" s="3" t="s">
        <v>62</v>
      </c>
      <c r="N64" s="3" t="s">
        <v>38</v>
      </c>
      <c r="O64" s="3" t="s">
        <v>39</v>
      </c>
      <c r="P64" s="3" t="s">
        <v>40</v>
      </c>
      <c r="Q64" s="6">
        <v>0.84</v>
      </c>
      <c r="R64" s="3" t="s">
        <v>41</v>
      </c>
      <c r="S64" s="3" t="s">
        <v>653</v>
      </c>
      <c r="T64" s="3">
        <v>275</v>
      </c>
      <c r="U64" s="3" t="s">
        <v>43</v>
      </c>
      <c r="V64" s="3" t="s">
        <v>44</v>
      </c>
      <c r="W64" s="9"/>
      <c r="X64" s="9" t="s">
        <v>45</v>
      </c>
      <c r="Y64" s="9"/>
    </row>
    <row r="65" spans="1:25" ht="86" customHeight="1">
      <c r="A65" s="3" t="s">
        <v>659</v>
      </c>
      <c r="B65" s="3" t="s">
        <v>660</v>
      </c>
      <c r="C65" s="3" t="s">
        <v>661</v>
      </c>
      <c r="D65" s="3" t="s">
        <v>660</v>
      </c>
      <c r="E65" s="3" t="s">
        <v>30</v>
      </c>
      <c r="F65" s="3" t="s">
        <v>619</v>
      </c>
      <c r="G65" s="3" t="s">
        <v>620</v>
      </c>
      <c r="H65" s="3" t="s">
        <v>33</v>
      </c>
      <c r="I65" s="3" t="s">
        <v>34</v>
      </c>
      <c r="J65" s="3" t="s">
        <v>34</v>
      </c>
      <c r="K65" s="3" t="s">
        <v>657</v>
      </c>
      <c r="L65" s="3" t="s">
        <v>49</v>
      </c>
      <c r="M65" s="3" t="s">
        <v>36</v>
      </c>
      <c r="N65" s="3" t="s">
        <v>38</v>
      </c>
      <c r="O65" s="3" t="s">
        <v>51</v>
      </c>
      <c r="P65" s="3" t="s">
        <v>40</v>
      </c>
      <c r="Q65" s="6">
        <v>0.78</v>
      </c>
      <c r="R65" s="3" t="s">
        <v>41</v>
      </c>
      <c r="S65" s="3" t="s">
        <v>662</v>
      </c>
      <c r="T65" s="3">
        <v>63</v>
      </c>
      <c r="U65" s="3" t="s">
        <v>43</v>
      </c>
      <c r="V65" s="3" t="s">
        <v>44</v>
      </c>
      <c r="W65" s="9"/>
      <c r="X65" s="9" t="s">
        <v>45</v>
      </c>
      <c r="Y65" s="9"/>
    </row>
    <row r="66" spans="1:25" ht="86" customHeight="1">
      <c r="A66" s="3" t="s">
        <v>663</v>
      </c>
      <c r="B66" s="3" t="s">
        <v>664</v>
      </c>
      <c r="C66" s="3" t="s">
        <v>665</v>
      </c>
      <c r="D66" s="3" t="s">
        <v>666</v>
      </c>
      <c r="E66" s="3" t="s">
        <v>51</v>
      </c>
      <c r="F66" s="3" t="s">
        <v>619</v>
      </c>
      <c r="G66" s="3" t="s">
        <v>620</v>
      </c>
      <c r="H66" s="3" t="s">
        <v>33</v>
      </c>
      <c r="I66" s="3" t="s">
        <v>34</v>
      </c>
      <c r="J66" s="3" t="s">
        <v>34</v>
      </c>
      <c r="K66" s="3" t="s">
        <v>667</v>
      </c>
      <c r="L66" s="3" t="s">
        <v>49</v>
      </c>
      <c r="M66" s="3"/>
      <c r="N66" s="3" t="s">
        <v>100</v>
      </c>
      <c r="O66" s="3" t="s">
        <v>51</v>
      </c>
      <c r="P66" s="3" t="s">
        <v>40</v>
      </c>
      <c r="Q66" s="6">
        <v>0.78</v>
      </c>
      <c r="R66" s="3" t="s">
        <v>41</v>
      </c>
      <c r="S66" s="3" t="s">
        <v>668</v>
      </c>
      <c r="T66" s="3">
        <v>38</v>
      </c>
      <c r="U66" s="3" t="s">
        <v>43</v>
      </c>
      <c r="V66" s="3" t="s">
        <v>44</v>
      </c>
      <c r="W66" s="9"/>
      <c r="X66" s="9" t="s">
        <v>45</v>
      </c>
      <c r="Y66" s="9"/>
    </row>
    <row r="67" spans="1:25" ht="86" customHeight="1">
      <c r="A67" s="3" t="s">
        <v>669</v>
      </c>
      <c r="B67" s="3" t="s">
        <v>670</v>
      </c>
      <c r="C67" s="3" t="s">
        <v>671</v>
      </c>
      <c r="D67" s="3" t="s">
        <v>670</v>
      </c>
      <c r="E67" s="3" t="s">
        <v>30</v>
      </c>
      <c r="F67" s="3" t="s">
        <v>619</v>
      </c>
      <c r="G67" s="3" t="s">
        <v>620</v>
      </c>
      <c r="H67" s="3" t="s">
        <v>33</v>
      </c>
      <c r="I67" s="3" t="s">
        <v>34</v>
      </c>
      <c r="J67" s="3" t="s">
        <v>34</v>
      </c>
      <c r="K67" s="3" t="s">
        <v>667</v>
      </c>
      <c r="L67" s="3" t="s">
        <v>49</v>
      </c>
      <c r="M67" s="3"/>
      <c r="N67" s="3" t="s">
        <v>38</v>
      </c>
      <c r="O67" s="3" t="s">
        <v>51</v>
      </c>
      <c r="P67" s="3" t="s">
        <v>40</v>
      </c>
      <c r="Q67" s="6">
        <v>0.78</v>
      </c>
      <c r="R67" s="3" t="s">
        <v>41</v>
      </c>
      <c r="S67" s="3" t="s">
        <v>672</v>
      </c>
      <c r="T67" s="3">
        <v>66</v>
      </c>
      <c r="U67" s="3" t="s">
        <v>43</v>
      </c>
      <c r="V67" s="3" t="s">
        <v>44</v>
      </c>
      <c r="W67" s="9"/>
      <c r="X67" s="9" t="s">
        <v>45</v>
      </c>
      <c r="Y67" s="9"/>
    </row>
    <row r="68" spans="1:25" ht="86" customHeight="1">
      <c r="A68" s="3" t="s">
        <v>683</v>
      </c>
      <c r="B68" s="3" t="s">
        <v>684</v>
      </c>
      <c r="C68" s="3" t="s">
        <v>685</v>
      </c>
      <c r="D68" s="3" t="s">
        <v>684</v>
      </c>
      <c r="E68" s="3" t="s">
        <v>30</v>
      </c>
      <c r="F68" s="3" t="s">
        <v>619</v>
      </c>
      <c r="G68" s="3" t="s">
        <v>620</v>
      </c>
      <c r="H68" s="3" t="s">
        <v>76</v>
      </c>
      <c r="I68" s="3" t="s">
        <v>34</v>
      </c>
      <c r="J68" s="3" t="s">
        <v>621</v>
      </c>
      <c r="K68" s="3" t="s">
        <v>686</v>
      </c>
      <c r="L68" s="3" t="s">
        <v>49</v>
      </c>
      <c r="M68" s="3"/>
      <c r="N68" s="3" t="s">
        <v>38</v>
      </c>
      <c r="O68" s="3" t="s">
        <v>51</v>
      </c>
      <c r="P68" s="3" t="s">
        <v>40</v>
      </c>
      <c r="Q68" s="6">
        <v>0.84</v>
      </c>
      <c r="R68" s="3" t="s">
        <v>41</v>
      </c>
      <c r="S68" s="3" t="s">
        <v>687</v>
      </c>
      <c r="T68" s="3">
        <v>31</v>
      </c>
      <c r="U68" s="3" t="s">
        <v>43</v>
      </c>
      <c r="V68" s="3" t="s">
        <v>44</v>
      </c>
      <c r="W68" s="9"/>
      <c r="X68" s="9" t="s">
        <v>45</v>
      </c>
      <c r="Y68" s="9"/>
    </row>
    <row r="69" spans="1:25" ht="86" customHeight="1">
      <c r="A69" s="3" t="s">
        <v>698</v>
      </c>
      <c r="B69" s="3" t="s">
        <v>699</v>
      </c>
      <c r="C69" s="3" t="s">
        <v>700</v>
      </c>
      <c r="D69" s="3" t="s">
        <v>699</v>
      </c>
      <c r="E69" s="3" t="s">
        <v>30</v>
      </c>
      <c r="F69" s="3" t="s">
        <v>619</v>
      </c>
      <c r="G69" s="3" t="s">
        <v>620</v>
      </c>
      <c r="H69" s="3" t="s">
        <v>76</v>
      </c>
      <c r="I69" s="3" t="s">
        <v>34</v>
      </c>
      <c r="J69" s="3" t="s">
        <v>621</v>
      </c>
      <c r="K69" s="3" t="s">
        <v>701</v>
      </c>
      <c r="L69" s="3" t="s">
        <v>49</v>
      </c>
      <c r="M69" s="3" t="s">
        <v>36</v>
      </c>
      <c r="N69" s="3" t="s">
        <v>100</v>
      </c>
      <c r="O69" s="3" t="s">
        <v>51</v>
      </c>
      <c r="P69" s="3" t="s">
        <v>40</v>
      </c>
      <c r="Q69" s="6">
        <v>0.84</v>
      </c>
      <c r="R69" s="3" t="s">
        <v>41</v>
      </c>
      <c r="S69" s="3" t="s">
        <v>702</v>
      </c>
      <c r="T69" s="3">
        <v>149</v>
      </c>
      <c r="U69" s="3" t="s">
        <v>43</v>
      </c>
      <c r="V69" s="3" t="s">
        <v>44</v>
      </c>
      <c r="W69" s="9"/>
      <c r="X69" s="9" t="s">
        <v>45</v>
      </c>
      <c r="Y69" s="9"/>
    </row>
    <row r="70" spans="1:25" ht="86" customHeight="1">
      <c r="A70" s="3" t="s">
        <v>703</v>
      </c>
      <c r="B70" s="3" t="s">
        <v>704</v>
      </c>
      <c r="C70" s="3" t="s">
        <v>705</v>
      </c>
      <c r="D70" s="3" t="s">
        <v>704</v>
      </c>
      <c r="E70" s="3" t="s">
        <v>30</v>
      </c>
      <c r="F70" s="3" t="s">
        <v>619</v>
      </c>
      <c r="G70" s="3" t="s">
        <v>620</v>
      </c>
      <c r="H70" s="3" t="s">
        <v>76</v>
      </c>
      <c r="I70" s="3" t="s">
        <v>34</v>
      </c>
      <c r="J70" s="3" t="s">
        <v>621</v>
      </c>
      <c r="K70" s="3" t="s">
        <v>706</v>
      </c>
      <c r="L70" s="3" t="s">
        <v>49</v>
      </c>
      <c r="M70" s="3"/>
      <c r="N70" s="3" t="s">
        <v>38</v>
      </c>
      <c r="O70" s="3" t="s">
        <v>39</v>
      </c>
      <c r="P70" s="3" t="s">
        <v>40</v>
      </c>
      <c r="Q70" s="6">
        <v>0.84</v>
      </c>
      <c r="R70" s="3" t="s">
        <v>41</v>
      </c>
      <c r="S70" s="3" t="s">
        <v>707</v>
      </c>
      <c r="T70" s="3">
        <v>76</v>
      </c>
      <c r="U70" s="3" t="s">
        <v>43</v>
      </c>
      <c r="V70" s="3" t="s">
        <v>44</v>
      </c>
      <c r="W70" s="9"/>
      <c r="X70" s="9" t="s">
        <v>45</v>
      </c>
      <c r="Y70" s="9"/>
    </row>
    <row r="71" spans="1:25" ht="86" customHeight="1">
      <c r="A71" s="3" t="s">
        <v>708</v>
      </c>
      <c r="B71" s="3" t="s">
        <v>709</v>
      </c>
      <c r="C71" s="3" t="s">
        <v>710</v>
      </c>
      <c r="D71" s="3" t="s">
        <v>709</v>
      </c>
      <c r="E71" s="3" t="s">
        <v>30</v>
      </c>
      <c r="F71" s="3" t="s">
        <v>619</v>
      </c>
      <c r="G71" s="3" t="s">
        <v>620</v>
      </c>
      <c r="H71" s="3" t="s">
        <v>76</v>
      </c>
      <c r="I71" s="3" t="s">
        <v>34</v>
      </c>
      <c r="J71" s="3" t="s">
        <v>621</v>
      </c>
      <c r="K71" s="3" t="s">
        <v>711</v>
      </c>
      <c r="L71" s="3" t="s">
        <v>49</v>
      </c>
      <c r="M71" s="3"/>
      <c r="N71" s="3" t="s">
        <v>38</v>
      </c>
      <c r="O71" s="3" t="s">
        <v>39</v>
      </c>
      <c r="P71" s="3" t="s">
        <v>40</v>
      </c>
      <c r="Q71" s="6">
        <v>0.84</v>
      </c>
      <c r="R71" s="3" t="s">
        <v>41</v>
      </c>
      <c r="S71" s="3" t="s">
        <v>712</v>
      </c>
      <c r="T71" s="3">
        <v>323</v>
      </c>
      <c r="U71" s="3" t="s">
        <v>43</v>
      </c>
      <c r="V71" s="3" t="s">
        <v>44</v>
      </c>
      <c r="W71" s="9"/>
      <c r="X71" s="9" t="s">
        <v>45</v>
      </c>
      <c r="Y71" s="9"/>
    </row>
    <row r="72" spans="1:25" ht="86" customHeight="1">
      <c r="A72" s="3" t="s">
        <v>738</v>
      </c>
      <c r="B72" s="3" t="s">
        <v>739</v>
      </c>
      <c r="C72" s="3" t="s">
        <v>740</v>
      </c>
      <c r="D72" s="3" t="s">
        <v>739</v>
      </c>
      <c r="E72" s="3" t="s">
        <v>30</v>
      </c>
      <c r="F72" s="3" t="s">
        <v>619</v>
      </c>
      <c r="G72" s="3" t="s">
        <v>620</v>
      </c>
      <c r="H72" s="3" t="s">
        <v>33</v>
      </c>
      <c r="I72" s="3" t="s">
        <v>34</v>
      </c>
      <c r="J72" s="3" t="s">
        <v>34</v>
      </c>
      <c r="K72" s="3" t="s">
        <v>741</v>
      </c>
      <c r="L72" s="3" t="s">
        <v>36</v>
      </c>
      <c r="M72" s="3" t="s">
        <v>49</v>
      </c>
      <c r="N72" s="3" t="s">
        <v>38</v>
      </c>
      <c r="O72" s="3" t="s">
        <v>51</v>
      </c>
      <c r="P72" s="3" t="s">
        <v>40</v>
      </c>
      <c r="Q72" s="6">
        <v>0.78</v>
      </c>
      <c r="R72" s="3" t="s">
        <v>41</v>
      </c>
      <c r="S72" s="3" t="s">
        <v>742</v>
      </c>
      <c r="T72" s="3">
        <v>76</v>
      </c>
      <c r="U72" s="3" t="s">
        <v>43</v>
      </c>
      <c r="V72" s="3" t="s">
        <v>44</v>
      </c>
      <c r="W72" s="9"/>
      <c r="X72" s="9" t="s">
        <v>45</v>
      </c>
      <c r="Y72" s="9"/>
    </row>
    <row r="73" spans="1:25" ht="86" customHeight="1">
      <c r="A73" s="3" t="s">
        <v>743</v>
      </c>
      <c r="B73" s="3" t="s">
        <v>744</v>
      </c>
      <c r="C73" s="3" t="s">
        <v>745</v>
      </c>
      <c r="D73" s="3" t="s">
        <v>744</v>
      </c>
      <c r="E73" s="3" t="s">
        <v>30</v>
      </c>
      <c r="F73" s="3" t="s">
        <v>619</v>
      </c>
      <c r="G73" s="3" t="s">
        <v>620</v>
      </c>
      <c r="H73" s="3" t="s">
        <v>33</v>
      </c>
      <c r="I73" s="3" t="s">
        <v>34</v>
      </c>
      <c r="J73" s="3" t="s">
        <v>34</v>
      </c>
      <c r="K73" s="3" t="s">
        <v>741</v>
      </c>
      <c r="L73" s="3" t="s">
        <v>62</v>
      </c>
      <c r="M73" s="3" t="s">
        <v>746</v>
      </c>
      <c r="N73" s="3" t="s">
        <v>38</v>
      </c>
      <c r="O73" s="3" t="s">
        <v>51</v>
      </c>
      <c r="P73" s="3" t="s">
        <v>40</v>
      </c>
      <c r="Q73" s="6">
        <v>0.78</v>
      </c>
      <c r="R73" s="3" t="s">
        <v>41</v>
      </c>
      <c r="S73" s="3" t="s">
        <v>747</v>
      </c>
      <c r="T73" s="3">
        <v>52</v>
      </c>
      <c r="U73" s="3" t="s">
        <v>43</v>
      </c>
      <c r="V73" s="3" t="s">
        <v>44</v>
      </c>
      <c r="W73" s="9"/>
      <c r="X73" s="9" t="s">
        <v>45</v>
      </c>
      <c r="Y73" s="9"/>
    </row>
    <row r="74" spans="1:25" ht="86" customHeight="1">
      <c r="A74" s="3" t="s">
        <v>748</v>
      </c>
      <c r="B74" s="3" t="s">
        <v>749</v>
      </c>
      <c r="C74" s="3" t="s">
        <v>750</v>
      </c>
      <c r="D74" s="3" t="s">
        <v>749</v>
      </c>
      <c r="E74" s="3" t="s">
        <v>30</v>
      </c>
      <c r="F74" s="3" t="s">
        <v>619</v>
      </c>
      <c r="G74" s="3" t="s">
        <v>620</v>
      </c>
      <c r="H74" s="3" t="s">
        <v>33</v>
      </c>
      <c r="I74" s="3" t="s">
        <v>34</v>
      </c>
      <c r="J74" s="3" t="s">
        <v>34</v>
      </c>
      <c r="K74" s="3" t="s">
        <v>741</v>
      </c>
      <c r="L74" s="3" t="s">
        <v>62</v>
      </c>
      <c r="M74" s="3" t="s">
        <v>751</v>
      </c>
      <c r="N74" s="3" t="s">
        <v>38</v>
      </c>
      <c r="O74" s="3" t="s">
        <v>51</v>
      </c>
      <c r="P74" s="3" t="s">
        <v>40</v>
      </c>
      <c r="Q74" s="6">
        <v>0.78</v>
      </c>
      <c r="R74" s="3" t="s">
        <v>41</v>
      </c>
      <c r="S74" s="3" t="s">
        <v>752</v>
      </c>
      <c r="T74" s="3">
        <v>87</v>
      </c>
      <c r="U74" s="3" t="s">
        <v>43</v>
      </c>
      <c r="V74" s="3" t="s">
        <v>44</v>
      </c>
      <c r="W74" s="9"/>
      <c r="X74" s="9" t="s">
        <v>45</v>
      </c>
      <c r="Y74" s="9"/>
    </row>
    <row r="75" spans="1:25" ht="86" customHeight="1">
      <c r="A75" s="3" t="s">
        <v>753</v>
      </c>
      <c r="B75" s="3" t="s">
        <v>754</v>
      </c>
      <c r="C75" s="3" t="s">
        <v>755</v>
      </c>
      <c r="D75" s="3" t="s">
        <v>754</v>
      </c>
      <c r="E75" s="3" t="s">
        <v>30</v>
      </c>
      <c r="F75" s="3" t="s">
        <v>619</v>
      </c>
      <c r="G75" s="3" t="s">
        <v>620</v>
      </c>
      <c r="H75" s="3" t="s">
        <v>33</v>
      </c>
      <c r="I75" s="3" t="s">
        <v>34</v>
      </c>
      <c r="J75" s="3" t="s">
        <v>34</v>
      </c>
      <c r="K75" s="3" t="s">
        <v>741</v>
      </c>
      <c r="L75" s="3" t="s">
        <v>50</v>
      </c>
      <c r="M75" s="3" t="s">
        <v>62</v>
      </c>
      <c r="N75" s="3" t="s">
        <v>38</v>
      </c>
      <c r="O75" s="3" t="s">
        <v>51</v>
      </c>
      <c r="P75" s="3" t="s">
        <v>40</v>
      </c>
      <c r="Q75" s="6">
        <v>0.78</v>
      </c>
      <c r="R75" s="3" t="s">
        <v>41</v>
      </c>
      <c r="S75" s="3" t="s">
        <v>756</v>
      </c>
      <c r="T75" s="3">
        <v>51</v>
      </c>
      <c r="U75" s="3" t="s">
        <v>43</v>
      </c>
      <c r="V75" s="3" t="s">
        <v>44</v>
      </c>
      <c r="W75" s="9"/>
      <c r="X75" s="9" t="s">
        <v>45</v>
      </c>
      <c r="Y75" s="9"/>
    </row>
    <row r="76" spans="1:25" ht="86" customHeight="1">
      <c r="A76" s="3" t="s">
        <v>757</v>
      </c>
      <c r="B76" s="3" t="s">
        <v>758</v>
      </c>
      <c r="C76" s="3" t="s">
        <v>759</v>
      </c>
      <c r="D76" s="3" t="s">
        <v>758</v>
      </c>
      <c r="E76" s="3" t="s">
        <v>30</v>
      </c>
      <c r="F76" s="3" t="s">
        <v>619</v>
      </c>
      <c r="G76" s="3" t="s">
        <v>620</v>
      </c>
      <c r="H76" s="3" t="s">
        <v>33</v>
      </c>
      <c r="I76" s="3" t="s">
        <v>34</v>
      </c>
      <c r="J76" s="3" t="s">
        <v>34</v>
      </c>
      <c r="K76" s="3" t="s">
        <v>741</v>
      </c>
      <c r="L76" s="3" t="s">
        <v>319</v>
      </c>
      <c r="M76" s="3"/>
      <c r="N76" s="3" t="s">
        <v>38</v>
      </c>
      <c r="O76" s="3" t="s">
        <v>51</v>
      </c>
      <c r="P76" s="3" t="s">
        <v>40</v>
      </c>
      <c r="Q76" s="6">
        <v>0.78</v>
      </c>
      <c r="R76" s="3" t="s">
        <v>41</v>
      </c>
      <c r="S76" s="3" t="s">
        <v>760</v>
      </c>
      <c r="T76" s="3">
        <v>35</v>
      </c>
      <c r="U76" s="3" t="s">
        <v>43</v>
      </c>
      <c r="V76" s="3" t="s">
        <v>44</v>
      </c>
      <c r="W76" s="9"/>
      <c r="X76" s="9" t="s">
        <v>45</v>
      </c>
      <c r="Y76" s="9"/>
    </row>
    <row r="77" spans="1:25" ht="86" customHeight="1">
      <c r="A77" s="3" t="s">
        <v>761</v>
      </c>
      <c r="B77" s="3" t="s">
        <v>762</v>
      </c>
      <c r="C77" s="3" t="s">
        <v>763</v>
      </c>
      <c r="D77" s="3" t="s">
        <v>762</v>
      </c>
      <c r="E77" s="3" t="s">
        <v>30</v>
      </c>
      <c r="F77" s="3" t="s">
        <v>619</v>
      </c>
      <c r="G77" s="3" t="s">
        <v>620</v>
      </c>
      <c r="H77" s="3" t="s">
        <v>33</v>
      </c>
      <c r="I77" s="3" t="s">
        <v>34</v>
      </c>
      <c r="J77" s="3" t="s">
        <v>34</v>
      </c>
      <c r="K77" s="3" t="s">
        <v>741</v>
      </c>
      <c r="L77" s="3" t="s">
        <v>50</v>
      </c>
      <c r="M77" s="3" t="s">
        <v>36</v>
      </c>
      <c r="N77" s="3" t="s">
        <v>100</v>
      </c>
      <c r="O77" s="3" t="s">
        <v>51</v>
      </c>
      <c r="P77" s="3" t="s">
        <v>40</v>
      </c>
      <c r="Q77" s="6">
        <v>0.78</v>
      </c>
      <c r="R77" s="3" t="s">
        <v>41</v>
      </c>
      <c r="S77" s="3" t="s">
        <v>764</v>
      </c>
      <c r="T77" s="3">
        <v>29</v>
      </c>
      <c r="U77" s="3" t="s">
        <v>43</v>
      </c>
      <c r="V77" s="3" t="s">
        <v>44</v>
      </c>
      <c r="W77" s="9"/>
      <c r="X77" s="9" t="s">
        <v>45</v>
      </c>
      <c r="Y77" s="9"/>
    </row>
    <row r="78" spans="1:25" ht="86" customHeight="1">
      <c r="A78" s="3" t="s">
        <v>765</v>
      </c>
      <c r="B78" s="3" t="s">
        <v>766</v>
      </c>
      <c r="C78" s="3" t="s">
        <v>767</v>
      </c>
      <c r="D78" s="3" t="s">
        <v>766</v>
      </c>
      <c r="E78" s="3" t="s">
        <v>30</v>
      </c>
      <c r="F78" s="3" t="s">
        <v>619</v>
      </c>
      <c r="G78" s="3" t="s">
        <v>620</v>
      </c>
      <c r="H78" s="3" t="s">
        <v>33</v>
      </c>
      <c r="I78" s="3" t="s">
        <v>34</v>
      </c>
      <c r="J78" s="3" t="s">
        <v>34</v>
      </c>
      <c r="K78" s="3" t="s">
        <v>741</v>
      </c>
      <c r="L78" s="3" t="s">
        <v>50</v>
      </c>
      <c r="M78" s="3" t="s">
        <v>62</v>
      </c>
      <c r="N78" s="3" t="s">
        <v>38</v>
      </c>
      <c r="O78" s="3" t="s">
        <v>51</v>
      </c>
      <c r="P78" s="3" t="s">
        <v>40</v>
      </c>
      <c r="Q78" s="6">
        <v>0.78</v>
      </c>
      <c r="R78" s="3" t="s">
        <v>41</v>
      </c>
      <c r="S78" s="3" t="s">
        <v>768</v>
      </c>
      <c r="T78" s="3">
        <v>72</v>
      </c>
      <c r="U78" s="3" t="s">
        <v>43</v>
      </c>
      <c r="V78" s="3" t="s">
        <v>44</v>
      </c>
      <c r="W78" s="9"/>
      <c r="X78" s="9" t="s">
        <v>45</v>
      </c>
      <c r="Y78" s="9"/>
    </row>
    <row r="79" spans="1:25" ht="86" customHeight="1">
      <c r="A79" s="3" t="s">
        <v>769</v>
      </c>
      <c r="B79" s="3" t="s">
        <v>770</v>
      </c>
      <c r="C79" s="3" t="s">
        <v>771</v>
      </c>
      <c r="D79" s="3" t="s">
        <v>770</v>
      </c>
      <c r="E79" s="3" t="s">
        <v>30</v>
      </c>
      <c r="F79" s="3" t="s">
        <v>619</v>
      </c>
      <c r="G79" s="3" t="s">
        <v>620</v>
      </c>
      <c r="H79" s="3" t="s">
        <v>33</v>
      </c>
      <c r="I79" s="3" t="s">
        <v>34</v>
      </c>
      <c r="J79" s="3" t="s">
        <v>34</v>
      </c>
      <c r="K79" s="3" t="s">
        <v>741</v>
      </c>
      <c r="L79" s="3" t="s">
        <v>49</v>
      </c>
      <c r="M79" s="3"/>
      <c r="N79" s="3" t="s">
        <v>38</v>
      </c>
      <c r="O79" s="3" t="s">
        <v>51</v>
      </c>
      <c r="P79" s="3" t="s">
        <v>40</v>
      </c>
      <c r="Q79" s="6">
        <v>0.78</v>
      </c>
      <c r="R79" s="3" t="s">
        <v>41</v>
      </c>
      <c r="S79" s="3" t="s">
        <v>772</v>
      </c>
      <c r="T79" s="3">
        <v>82</v>
      </c>
      <c r="U79" s="3" t="s">
        <v>43</v>
      </c>
      <c r="V79" s="3" t="s">
        <v>44</v>
      </c>
      <c r="W79" s="9"/>
      <c r="X79" s="9" t="s">
        <v>45</v>
      </c>
      <c r="Y79" s="9"/>
    </row>
    <row r="80" spans="1:25" ht="86" customHeight="1">
      <c r="A80" s="3" t="s">
        <v>773</v>
      </c>
      <c r="B80" s="3" t="s">
        <v>774</v>
      </c>
      <c r="C80" s="3" t="s">
        <v>775</v>
      </c>
      <c r="D80" s="3" t="s">
        <v>774</v>
      </c>
      <c r="E80" s="3" t="s">
        <v>30</v>
      </c>
      <c r="F80" s="3" t="s">
        <v>619</v>
      </c>
      <c r="G80" s="3" t="s">
        <v>620</v>
      </c>
      <c r="H80" s="3" t="s">
        <v>33</v>
      </c>
      <c r="I80" s="3" t="s">
        <v>34</v>
      </c>
      <c r="J80" s="3" t="s">
        <v>34</v>
      </c>
      <c r="K80" s="3" t="s">
        <v>741</v>
      </c>
      <c r="L80" s="3" t="s">
        <v>49</v>
      </c>
      <c r="M80" s="3" t="s">
        <v>36</v>
      </c>
      <c r="N80" s="3" t="s">
        <v>38</v>
      </c>
      <c r="O80" s="3" t="s">
        <v>39</v>
      </c>
      <c r="P80" s="3" t="s">
        <v>40</v>
      </c>
      <c r="Q80" s="6">
        <v>0.78</v>
      </c>
      <c r="R80" s="3" t="s">
        <v>41</v>
      </c>
      <c r="S80" s="3" t="s">
        <v>776</v>
      </c>
      <c r="T80" s="3">
        <v>429</v>
      </c>
      <c r="U80" s="3" t="s">
        <v>43</v>
      </c>
      <c r="V80" s="3" t="s">
        <v>44</v>
      </c>
      <c r="W80" s="9"/>
      <c r="X80" s="9" t="s">
        <v>45</v>
      </c>
      <c r="Y80" s="9"/>
    </row>
    <row r="81" spans="1:25" ht="86" customHeight="1">
      <c r="A81" s="3" t="s">
        <v>777</v>
      </c>
      <c r="B81" s="3" t="s">
        <v>778</v>
      </c>
      <c r="C81" s="3" t="s">
        <v>779</v>
      </c>
      <c r="D81" s="3" t="s">
        <v>778</v>
      </c>
      <c r="E81" s="3" t="s">
        <v>30</v>
      </c>
      <c r="F81" s="3" t="s">
        <v>619</v>
      </c>
      <c r="G81" s="3" t="s">
        <v>620</v>
      </c>
      <c r="H81" s="3" t="s">
        <v>33</v>
      </c>
      <c r="I81" s="3" t="s">
        <v>34</v>
      </c>
      <c r="J81" s="3" t="s">
        <v>34</v>
      </c>
      <c r="K81" s="3" t="s">
        <v>741</v>
      </c>
      <c r="L81" s="3" t="s">
        <v>49</v>
      </c>
      <c r="M81" s="3"/>
      <c r="N81" s="3" t="s">
        <v>38</v>
      </c>
      <c r="O81" s="3" t="s">
        <v>39</v>
      </c>
      <c r="P81" s="3" t="s">
        <v>40</v>
      </c>
      <c r="Q81" s="6">
        <v>0.78</v>
      </c>
      <c r="R81" s="3" t="s">
        <v>41</v>
      </c>
      <c r="S81" s="3" t="s">
        <v>780</v>
      </c>
      <c r="T81" s="3">
        <v>305</v>
      </c>
      <c r="U81" s="3" t="s">
        <v>43</v>
      </c>
      <c r="V81" s="3" t="s">
        <v>44</v>
      </c>
      <c r="W81" s="9"/>
      <c r="X81" s="9" t="s">
        <v>45</v>
      </c>
      <c r="Y81" s="9"/>
    </row>
    <row r="82" spans="1:25" ht="86" customHeight="1">
      <c r="A82" s="3" t="s">
        <v>781</v>
      </c>
      <c r="B82" s="3" t="s">
        <v>782</v>
      </c>
      <c r="C82" s="3" t="s">
        <v>783</v>
      </c>
      <c r="D82" s="3" t="s">
        <v>782</v>
      </c>
      <c r="E82" s="3" t="s">
        <v>30</v>
      </c>
      <c r="F82" s="3" t="s">
        <v>619</v>
      </c>
      <c r="G82" s="3" t="s">
        <v>620</v>
      </c>
      <c r="H82" s="3" t="s">
        <v>33</v>
      </c>
      <c r="I82" s="3" t="s">
        <v>34</v>
      </c>
      <c r="J82" s="3" t="s">
        <v>34</v>
      </c>
      <c r="K82" s="3" t="s">
        <v>741</v>
      </c>
      <c r="L82" s="3" t="s">
        <v>36</v>
      </c>
      <c r="M82" s="3" t="s">
        <v>49</v>
      </c>
      <c r="N82" s="3" t="s">
        <v>38</v>
      </c>
      <c r="O82" s="3" t="s">
        <v>39</v>
      </c>
      <c r="P82" s="3" t="s">
        <v>40</v>
      </c>
      <c r="Q82" s="6">
        <v>0.78</v>
      </c>
      <c r="R82" s="3" t="s">
        <v>41</v>
      </c>
      <c r="S82" s="3" t="s">
        <v>784</v>
      </c>
      <c r="T82" s="3">
        <v>436</v>
      </c>
      <c r="U82" s="3" t="s">
        <v>43</v>
      </c>
      <c r="V82" s="3" t="s">
        <v>44</v>
      </c>
      <c r="W82" s="9"/>
      <c r="X82" s="9" t="s">
        <v>45</v>
      </c>
      <c r="Y82" s="9"/>
    </row>
    <row r="83" spans="1:25" ht="86" customHeight="1">
      <c r="A83" s="3" t="s">
        <v>875</v>
      </c>
      <c r="B83" s="3" t="s">
        <v>876</v>
      </c>
      <c r="C83" s="3" t="s">
        <v>877</v>
      </c>
      <c r="D83" s="3" t="s">
        <v>876</v>
      </c>
      <c r="E83" s="3" t="s">
        <v>30</v>
      </c>
      <c r="F83" s="3" t="s">
        <v>825</v>
      </c>
      <c r="G83" s="3" t="s">
        <v>826</v>
      </c>
      <c r="H83" s="3" t="s">
        <v>33</v>
      </c>
      <c r="I83" s="3" t="s">
        <v>827</v>
      </c>
      <c r="J83" s="3" t="s">
        <v>827</v>
      </c>
      <c r="K83" s="3" t="s">
        <v>878</v>
      </c>
      <c r="L83" s="3" t="s">
        <v>36</v>
      </c>
      <c r="M83" s="3" t="s">
        <v>62</v>
      </c>
      <c r="N83" s="3" t="s">
        <v>38</v>
      </c>
      <c r="O83" s="3" t="s">
        <v>51</v>
      </c>
      <c r="P83" s="3" t="s">
        <v>40</v>
      </c>
      <c r="Q83" s="6">
        <v>0.78</v>
      </c>
      <c r="R83" s="3" t="s">
        <v>41</v>
      </c>
      <c r="S83" s="3" t="s">
        <v>879</v>
      </c>
      <c r="T83" s="3">
        <v>81</v>
      </c>
      <c r="U83" s="3" t="s">
        <v>43</v>
      </c>
      <c r="V83" s="3" t="s">
        <v>44</v>
      </c>
      <c r="W83" s="9"/>
      <c r="X83" s="9" t="s">
        <v>45</v>
      </c>
      <c r="Y83" s="9"/>
    </row>
    <row r="84" spans="1:25" ht="86" customHeight="1">
      <c r="A84" s="3" t="s">
        <v>880</v>
      </c>
      <c r="B84" s="3" t="s">
        <v>881</v>
      </c>
      <c r="C84" s="3" t="s">
        <v>882</v>
      </c>
      <c r="D84" s="3" t="s">
        <v>881</v>
      </c>
      <c r="E84" s="3" t="s">
        <v>30</v>
      </c>
      <c r="F84" s="3" t="s">
        <v>825</v>
      </c>
      <c r="G84" s="3" t="s">
        <v>826</v>
      </c>
      <c r="H84" s="3" t="s">
        <v>33</v>
      </c>
      <c r="I84" s="3" t="s">
        <v>827</v>
      </c>
      <c r="J84" s="3" t="s">
        <v>827</v>
      </c>
      <c r="K84" s="3" t="s">
        <v>878</v>
      </c>
      <c r="L84" s="3" t="s">
        <v>319</v>
      </c>
      <c r="M84" s="3"/>
      <c r="N84" s="3" t="s">
        <v>38</v>
      </c>
      <c r="O84" s="3" t="s">
        <v>51</v>
      </c>
      <c r="P84" s="3" t="s">
        <v>40</v>
      </c>
      <c r="Q84" s="6">
        <v>0.78</v>
      </c>
      <c r="R84" s="3" t="s">
        <v>41</v>
      </c>
      <c r="S84" s="3" t="s">
        <v>883</v>
      </c>
      <c r="T84" s="3">
        <v>117</v>
      </c>
      <c r="U84" s="3" t="s">
        <v>43</v>
      </c>
      <c r="V84" s="3" t="s">
        <v>44</v>
      </c>
      <c r="W84" s="9"/>
      <c r="X84" s="9" t="s">
        <v>45</v>
      </c>
      <c r="Y84" s="9"/>
    </row>
    <row r="85" spans="1:25" ht="86" customHeight="1">
      <c r="A85" s="3" t="s">
        <v>889</v>
      </c>
      <c r="B85" s="3" t="s">
        <v>890</v>
      </c>
      <c r="C85" s="3" t="s">
        <v>891</v>
      </c>
      <c r="D85" s="3" t="s">
        <v>892</v>
      </c>
      <c r="E85" s="3" t="s">
        <v>51</v>
      </c>
      <c r="F85" s="3" t="s">
        <v>825</v>
      </c>
      <c r="G85" s="3" t="s">
        <v>826</v>
      </c>
      <c r="H85" s="3" t="s">
        <v>33</v>
      </c>
      <c r="I85" s="3" t="s">
        <v>34</v>
      </c>
      <c r="J85" s="3" t="s">
        <v>34</v>
      </c>
      <c r="K85" s="3" t="s">
        <v>887</v>
      </c>
      <c r="L85" s="3" t="s">
        <v>319</v>
      </c>
      <c r="M85" s="3"/>
      <c r="N85" s="3" t="s">
        <v>38</v>
      </c>
      <c r="O85" s="3" t="s">
        <v>51</v>
      </c>
      <c r="P85" s="3" t="s">
        <v>40</v>
      </c>
      <c r="Q85" s="6">
        <v>0.78</v>
      </c>
      <c r="R85" s="3" t="s">
        <v>41</v>
      </c>
      <c r="S85" s="3" t="s">
        <v>893</v>
      </c>
      <c r="T85" s="3">
        <v>26</v>
      </c>
      <c r="U85" s="3" t="s">
        <v>43</v>
      </c>
      <c r="V85" s="3" t="s">
        <v>44</v>
      </c>
      <c r="W85" s="9"/>
      <c r="X85" s="9" t="s">
        <v>45</v>
      </c>
      <c r="Y85" s="9"/>
    </row>
    <row r="86" spans="1:25" ht="86" customHeight="1">
      <c r="A86" s="3" t="s">
        <v>899</v>
      </c>
      <c r="B86" s="3" t="s">
        <v>900</v>
      </c>
      <c r="C86" s="3" t="s">
        <v>901</v>
      </c>
      <c r="D86" s="3" t="s">
        <v>900</v>
      </c>
      <c r="E86" s="3" t="s">
        <v>30</v>
      </c>
      <c r="F86" s="3" t="s">
        <v>825</v>
      </c>
      <c r="G86" s="3" t="s">
        <v>826</v>
      </c>
      <c r="H86" s="3" t="s">
        <v>33</v>
      </c>
      <c r="I86" s="3" t="s">
        <v>34</v>
      </c>
      <c r="J86" s="3" t="s">
        <v>34</v>
      </c>
      <c r="K86" s="3" t="s">
        <v>897</v>
      </c>
      <c r="L86" s="3" t="s">
        <v>62</v>
      </c>
      <c r="M86" s="3" t="s">
        <v>50</v>
      </c>
      <c r="N86" s="3" t="s">
        <v>38</v>
      </c>
      <c r="O86" s="3" t="s">
        <v>51</v>
      </c>
      <c r="P86" s="3" t="s">
        <v>40</v>
      </c>
      <c r="Q86" s="6">
        <v>0.78</v>
      </c>
      <c r="R86" s="3" t="s">
        <v>41</v>
      </c>
      <c r="S86" s="3" t="s">
        <v>902</v>
      </c>
      <c r="T86" s="3">
        <v>104</v>
      </c>
      <c r="U86" s="3" t="s">
        <v>43</v>
      </c>
      <c r="V86" s="3" t="s">
        <v>44</v>
      </c>
      <c r="W86" s="9"/>
      <c r="X86" s="9" t="s">
        <v>45</v>
      </c>
      <c r="Y86" s="9"/>
    </row>
    <row r="87" spans="1:25" ht="86" customHeight="1">
      <c r="A87" s="3" t="s">
        <v>908</v>
      </c>
      <c r="B87" s="3" t="s">
        <v>909</v>
      </c>
      <c r="C87" s="3" t="s">
        <v>910</v>
      </c>
      <c r="D87" s="3" t="s">
        <v>909</v>
      </c>
      <c r="E87" s="3" t="s">
        <v>30</v>
      </c>
      <c r="F87" s="3" t="s">
        <v>825</v>
      </c>
      <c r="G87" s="3" t="s">
        <v>826</v>
      </c>
      <c r="H87" s="3" t="s">
        <v>76</v>
      </c>
      <c r="I87" s="3" t="s">
        <v>34</v>
      </c>
      <c r="J87" s="3" t="s">
        <v>827</v>
      </c>
      <c r="K87" s="3" t="s">
        <v>911</v>
      </c>
      <c r="L87" s="3" t="s">
        <v>50</v>
      </c>
      <c r="M87" s="3" t="s">
        <v>57</v>
      </c>
      <c r="N87" s="3" t="s">
        <v>38</v>
      </c>
      <c r="O87" s="3" t="s">
        <v>39</v>
      </c>
      <c r="P87" s="3" t="s">
        <v>40</v>
      </c>
      <c r="Q87" s="6">
        <v>0.84</v>
      </c>
      <c r="R87" s="3" t="s">
        <v>41</v>
      </c>
      <c r="S87" s="3" t="s">
        <v>912</v>
      </c>
      <c r="T87" s="3">
        <v>491</v>
      </c>
      <c r="U87" s="3" t="s">
        <v>43</v>
      </c>
      <c r="V87" s="3" t="s">
        <v>44</v>
      </c>
      <c r="W87" s="9"/>
      <c r="X87" s="9" t="s">
        <v>45</v>
      </c>
      <c r="Y87" s="9"/>
    </row>
    <row r="88" spans="1:25" ht="86" customHeight="1">
      <c r="A88" s="3" t="s">
        <v>913</v>
      </c>
      <c r="B88" s="3" t="s">
        <v>914</v>
      </c>
      <c r="C88" s="3" t="s">
        <v>915</v>
      </c>
      <c r="D88" s="3" t="s">
        <v>914</v>
      </c>
      <c r="E88" s="3" t="s">
        <v>30</v>
      </c>
      <c r="F88" s="3" t="s">
        <v>825</v>
      </c>
      <c r="G88" s="3" t="s">
        <v>826</v>
      </c>
      <c r="H88" s="3" t="s">
        <v>33</v>
      </c>
      <c r="I88" s="3" t="s">
        <v>34</v>
      </c>
      <c r="J88" s="3" t="s">
        <v>34</v>
      </c>
      <c r="K88" s="3" t="s">
        <v>916</v>
      </c>
      <c r="L88" s="3" t="s">
        <v>319</v>
      </c>
      <c r="M88" s="3"/>
      <c r="N88" s="3" t="s">
        <v>38</v>
      </c>
      <c r="O88" s="3" t="s">
        <v>51</v>
      </c>
      <c r="P88" s="3" t="s">
        <v>40</v>
      </c>
      <c r="Q88" s="6">
        <v>0.78</v>
      </c>
      <c r="R88" s="3" t="s">
        <v>41</v>
      </c>
      <c r="S88" s="3" t="s">
        <v>917</v>
      </c>
      <c r="T88" s="3">
        <v>21</v>
      </c>
      <c r="U88" s="3" t="s">
        <v>43</v>
      </c>
      <c r="V88" s="3" t="s">
        <v>44</v>
      </c>
      <c r="W88" s="9"/>
      <c r="X88" s="9" t="s">
        <v>45</v>
      </c>
      <c r="Y88" s="9"/>
    </row>
    <row r="89" spans="1:25" ht="86" customHeight="1">
      <c r="A89" s="3" t="s">
        <v>918</v>
      </c>
      <c r="B89" s="3" t="s">
        <v>919</v>
      </c>
      <c r="C89" s="3" t="s">
        <v>920</v>
      </c>
      <c r="D89" s="3" t="s">
        <v>919</v>
      </c>
      <c r="E89" s="3" t="s">
        <v>30</v>
      </c>
      <c r="F89" s="3" t="s">
        <v>825</v>
      </c>
      <c r="G89" s="3" t="s">
        <v>826</v>
      </c>
      <c r="H89" s="3" t="s">
        <v>33</v>
      </c>
      <c r="I89" s="3" t="s">
        <v>34</v>
      </c>
      <c r="J89" s="3" t="s">
        <v>34</v>
      </c>
      <c r="K89" s="3" t="s">
        <v>916</v>
      </c>
      <c r="L89" s="3" t="s">
        <v>50</v>
      </c>
      <c r="M89" s="3" t="s">
        <v>62</v>
      </c>
      <c r="N89" s="3" t="s">
        <v>38</v>
      </c>
      <c r="O89" s="3" t="s">
        <v>39</v>
      </c>
      <c r="P89" s="3" t="s">
        <v>40</v>
      </c>
      <c r="Q89" s="6">
        <v>0.78</v>
      </c>
      <c r="R89" s="3" t="s">
        <v>41</v>
      </c>
      <c r="S89" s="3" t="s">
        <v>921</v>
      </c>
      <c r="T89" s="3">
        <v>70</v>
      </c>
      <c r="U89" s="3" t="s">
        <v>43</v>
      </c>
      <c r="V89" s="3" t="s">
        <v>44</v>
      </c>
      <c r="W89" s="9"/>
      <c r="X89" s="9" t="s">
        <v>45</v>
      </c>
      <c r="Y89" s="9"/>
    </row>
    <row r="90" spans="1:25" ht="86" customHeight="1">
      <c r="A90" s="3" t="s">
        <v>922</v>
      </c>
      <c r="B90" s="3" t="s">
        <v>923</v>
      </c>
      <c r="C90" s="3" t="s">
        <v>924</v>
      </c>
      <c r="D90" s="3" t="s">
        <v>923</v>
      </c>
      <c r="E90" s="3" t="s">
        <v>30</v>
      </c>
      <c r="F90" s="3" t="s">
        <v>825</v>
      </c>
      <c r="G90" s="3" t="s">
        <v>826</v>
      </c>
      <c r="H90" s="3" t="s">
        <v>33</v>
      </c>
      <c r="I90" s="3" t="s">
        <v>34</v>
      </c>
      <c r="J90" s="3" t="s">
        <v>34</v>
      </c>
      <c r="K90" s="3" t="s">
        <v>916</v>
      </c>
      <c r="L90" s="3" t="s">
        <v>319</v>
      </c>
      <c r="M90" s="3"/>
      <c r="N90" s="3" t="s">
        <v>38</v>
      </c>
      <c r="O90" s="3" t="s">
        <v>51</v>
      </c>
      <c r="P90" s="3" t="s">
        <v>40</v>
      </c>
      <c r="Q90" s="6">
        <v>0.78</v>
      </c>
      <c r="R90" s="3" t="s">
        <v>41</v>
      </c>
      <c r="S90" s="3" t="s">
        <v>925</v>
      </c>
      <c r="T90" s="3">
        <v>68</v>
      </c>
      <c r="U90" s="3" t="s">
        <v>43</v>
      </c>
      <c r="V90" s="3" t="s">
        <v>44</v>
      </c>
      <c r="W90" s="9"/>
      <c r="X90" s="9" t="s">
        <v>45</v>
      </c>
      <c r="Y90" s="9"/>
    </row>
    <row r="91" spans="1:25" ht="86" customHeight="1">
      <c r="A91" s="3" t="s">
        <v>926</v>
      </c>
      <c r="B91" s="3" t="s">
        <v>927</v>
      </c>
      <c r="C91" s="3" t="s">
        <v>928</v>
      </c>
      <c r="D91" s="3" t="s">
        <v>927</v>
      </c>
      <c r="E91" s="3" t="s">
        <v>30</v>
      </c>
      <c r="F91" s="3" t="s">
        <v>825</v>
      </c>
      <c r="G91" s="3" t="s">
        <v>826</v>
      </c>
      <c r="H91" s="3" t="s">
        <v>33</v>
      </c>
      <c r="I91" s="3" t="s">
        <v>34</v>
      </c>
      <c r="J91" s="3" t="s">
        <v>34</v>
      </c>
      <c r="K91" s="3" t="s">
        <v>916</v>
      </c>
      <c r="L91" s="3" t="s">
        <v>57</v>
      </c>
      <c r="M91" s="3" t="s">
        <v>746</v>
      </c>
      <c r="N91" s="3" t="s">
        <v>38</v>
      </c>
      <c r="O91" s="3" t="s">
        <v>51</v>
      </c>
      <c r="P91" s="3" t="s">
        <v>40</v>
      </c>
      <c r="Q91" s="6">
        <v>0.78</v>
      </c>
      <c r="R91" s="3" t="s">
        <v>41</v>
      </c>
      <c r="S91" s="3" t="s">
        <v>929</v>
      </c>
      <c r="T91" s="3">
        <v>415</v>
      </c>
      <c r="U91" s="3" t="s">
        <v>43</v>
      </c>
      <c r="V91" s="3" t="s">
        <v>44</v>
      </c>
      <c r="W91" s="9"/>
      <c r="X91" s="9" t="s">
        <v>45</v>
      </c>
      <c r="Y91" s="9"/>
    </row>
    <row r="92" spans="1:25" ht="86" customHeight="1">
      <c r="A92" s="3" t="s">
        <v>930</v>
      </c>
      <c r="B92" s="3" t="s">
        <v>931</v>
      </c>
      <c r="C92" s="3" t="s">
        <v>932</v>
      </c>
      <c r="D92" s="3" t="s">
        <v>933</v>
      </c>
      <c r="E92" s="3" t="s">
        <v>51</v>
      </c>
      <c r="F92" s="3" t="s">
        <v>825</v>
      </c>
      <c r="G92" s="3" t="s">
        <v>826</v>
      </c>
      <c r="H92" s="3" t="s">
        <v>33</v>
      </c>
      <c r="I92" s="3" t="s">
        <v>34</v>
      </c>
      <c r="J92" s="3" t="s">
        <v>34</v>
      </c>
      <c r="K92" s="3" t="s">
        <v>916</v>
      </c>
      <c r="L92" s="3" t="s">
        <v>50</v>
      </c>
      <c r="M92" s="3" t="s">
        <v>934</v>
      </c>
      <c r="N92" s="3" t="s">
        <v>100</v>
      </c>
      <c r="O92" s="3" t="s">
        <v>51</v>
      </c>
      <c r="P92" s="3" t="s">
        <v>40</v>
      </c>
      <c r="Q92" s="6">
        <v>0.78</v>
      </c>
      <c r="R92" s="3" t="s">
        <v>41</v>
      </c>
      <c r="S92" s="3" t="s">
        <v>935</v>
      </c>
      <c r="T92" s="3">
        <v>236</v>
      </c>
      <c r="U92" s="3" t="s">
        <v>43</v>
      </c>
      <c r="V92" s="3" t="s">
        <v>44</v>
      </c>
      <c r="W92" s="9"/>
      <c r="X92" s="9" t="s">
        <v>45</v>
      </c>
      <c r="Y92" s="9"/>
    </row>
    <row r="93" spans="1:25" ht="86" customHeight="1">
      <c r="A93" s="3" t="s">
        <v>936</v>
      </c>
      <c r="B93" s="3" t="s">
        <v>937</v>
      </c>
      <c r="C93" s="3" t="s">
        <v>938</v>
      </c>
      <c r="D93" s="3" t="s">
        <v>939</v>
      </c>
      <c r="E93" s="3" t="s">
        <v>51</v>
      </c>
      <c r="F93" s="3" t="s">
        <v>825</v>
      </c>
      <c r="G93" s="3" t="s">
        <v>826</v>
      </c>
      <c r="H93" s="3" t="s">
        <v>33</v>
      </c>
      <c r="I93" s="3" t="s">
        <v>34</v>
      </c>
      <c r="J93" s="3" t="s">
        <v>34</v>
      </c>
      <c r="K93" s="3" t="s">
        <v>916</v>
      </c>
      <c r="L93" s="3" t="s">
        <v>62</v>
      </c>
      <c r="M93" s="3" t="s">
        <v>50</v>
      </c>
      <c r="N93" s="3" t="s">
        <v>100</v>
      </c>
      <c r="O93" s="3" t="s">
        <v>51</v>
      </c>
      <c r="P93" s="3" t="s">
        <v>40</v>
      </c>
      <c r="Q93" s="6">
        <v>0.78</v>
      </c>
      <c r="R93" s="3" t="s">
        <v>41</v>
      </c>
      <c r="S93" s="3" t="s">
        <v>940</v>
      </c>
      <c r="T93" s="3">
        <v>43</v>
      </c>
      <c r="U93" s="3" t="s">
        <v>43</v>
      </c>
      <c r="V93" s="3" t="s">
        <v>44</v>
      </c>
      <c r="W93" s="9"/>
      <c r="X93" s="9" t="s">
        <v>45</v>
      </c>
      <c r="Y93" s="9"/>
    </row>
    <row r="94" spans="1:25" ht="86" customHeight="1">
      <c r="A94" s="3" t="s">
        <v>941</v>
      </c>
      <c r="B94" s="3" t="s">
        <v>942</v>
      </c>
      <c r="C94" s="3" t="s">
        <v>943</v>
      </c>
      <c r="D94" s="3" t="s">
        <v>942</v>
      </c>
      <c r="E94" s="3" t="s">
        <v>30</v>
      </c>
      <c r="F94" s="3" t="s">
        <v>944</v>
      </c>
      <c r="G94" s="3" t="s">
        <v>945</v>
      </c>
      <c r="H94" s="3" t="s">
        <v>33</v>
      </c>
      <c r="I94" s="3" t="s">
        <v>34</v>
      </c>
      <c r="J94" s="3" t="s">
        <v>34</v>
      </c>
      <c r="K94" s="3" t="s">
        <v>946</v>
      </c>
      <c r="L94" s="3" t="s">
        <v>62</v>
      </c>
      <c r="M94" s="3"/>
      <c r="N94" s="3" t="s">
        <v>38</v>
      </c>
      <c r="O94" s="3" t="s">
        <v>51</v>
      </c>
      <c r="P94" s="3" t="s">
        <v>40</v>
      </c>
      <c r="Q94" s="6">
        <v>0.78</v>
      </c>
      <c r="R94" s="3" t="s">
        <v>41</v>
      </c>
      <c r="S94" s="3" t="s">
        <v>947</v>
      </c>
      <c r="T94" s="3">
        <v>439</v>
      </c>
      <c r="U94" s="3" t="s">
        <v>43</v>
      </c>
      <c r="V94" s="3" t="s">
        <v>44</v>
      </c>
      <c r="W94" s="9"/>
      <c r="X94" s="9" t="s">
        <v>45</v>
      </c>
      <c r="Y94" s="9"/>
    </row>
    <row r="95" spans="1:25" ht="86" customHeight="1">
      <c r="A95" s="3" t="s">
        <v>948</v>
      </c>
      <c r="B95" s="3" t="s">
        <v>949</v>
      </c>
      <c r="C95" s="3" t="s">
        <v>950</v>
      </c>
      <c r="D95" s="3" t="s">
        <v>949</v>
      </c>
      <c r="E95" s="3" t="s">
        <v>30</v>
      </c>
      <c r="F95" s="3" t="s">
        <v>944</v>
      </c>
      <c r="G95" s="3" t="s">
        <v>945</v>
      </c>
      <c r="H95" s="3" t="s">
        <v>33</v>
      </c>
      <c r="I95" s="3" t="s">
        <v>34</v>
      </c>
      <c r="J95" s="3" t="s">
        <v>34</v>
      </c>
      <c r="K95" s="3" t="s">
        <v>951</v>
      </c>
      <c r="L95" s="3" t="s">
        <v>57</v>
      </c>
      <c r="M95" s="3" t="s">
        <v>36</v>
      </c>
      <c r="N95" s="3" t="s">
        <v>38</v>
      </c>
      <c r="O95" s="3" t="s">
        <v>39</v>
      </c>
      <c r="P95" s="3" t="s">
        <v>40</v>
      </c>
      <c r="Q95" s="6">
        <v>0.78</v>
      </c>
      <c r="R95" s="3" t="s">
        <v>41</v>
      </c>
      <c r="S95" s="3" t="s">
        <v>952</v>
      </c>
      <c r="T95" s="3">
        <v>445</v>
      </c>
      <c r="U95" s="3" t="s">
        <v>43</v>
      </c>
      <c r="V95" s="3" t="s">
        <v>44</v>
      </c>
      <c r="W95" s="9"/>
      <c r="X95" s="9" t="s">
        <v>45</v>
      </c>
      <c r="Y95" s="9"/>
    </row>
    <row r="96" spans="1:25" ht="86" customHeight="1">
      <c r="A96" s="3" t="s">
        <v>953</v>
      </c>
      <c r="B96" s="3" t="s">
        <v>954</v>
      </c>
      <c r="C96" s="3" t="s">
        <v>955</v>
      </c>
      <c r="D96" s="3" t="s">
        <v>954</v>
      </c>
      <c r="E96" s="3" t="s">
        <v>30</v>
      </c>
      <c r="F96" s="3" t="s">
        <v>944</v>
      </c>
      <c r="G96" s="3" t="s">
        <v>945</v>
      </c>
      <c r="H96" s="3" t="s">
        <v>33</v>
      </c>
      <c r="I96" s="3" t="s">
        <v>34</v>
      </c>
      <c r="J96" s="3" t="s">
        <v>34</v>
      </c>
      <c r="K96" s="3" t="s">
        <v>951</v>
      </c>
      <c r="L96" s="3" t="s">
        <v>62</v>
      </c>
      <c r="M96" s="3"/>
      <c r="N96" s="3" t="s">
        <v>100</v>
      </c>
      <c r="O96" s="3" t="s">
        <v>51</v>
      </c>
      <c r="P96" s="3" t="s">
        <v>40</v>
      </c>
      <c r="Q96" s="6">
        <v>0.78</v>
      </c>
      <c r="R96" s="3" t="s">
        <v>41</v>
      </c>
      <c r="S96" s="3" t="s">
        <v>956</v>
      </c>
      <c r="T96" s="3">
        <v>53</v>
      </c>
      <c r="U96" s="3" t="s">
        <v>43</v>
      </c>
      <c r="V96" s="3" t="s">
        <v>44</v>
      </c>
      <c r="W96" s="9"/>
      <c r="X96" s="9" t="s">
        <v>45</v>
      </c>
      <c r="Y96" s="9"/>
    </row>
    <row r="97" spans="1:25" ht="86" customHeight="1">
      <c r="A97" s="3" t="s">
        <v>957</v>
      </c>
      <c r="B97" s="3" t="s">
        <v>958</v>
      </c>
      <c r="C97" s="3" t="s">
        <v>959</v>
      </c>
      <c r="D97" s="3" t="s">
        <v>958</v>
      </c>
      <c r="E97" s="3" t="s">
        <v>30</v>
      </c>
      <c r="F97" s="3" t="s">
        <v>944</v>
      </c>
      <c r="G97" s="3" t="s">
        <v>945</v>
      </c>
      <c r="H97" s="3" t="s">
        <v>33</v>
      </c>
      <c r="I97" s="3" t="s">
        <v>34</v>
      </c>
      <c r="J97" s="3" t="s">
        <v>34</v>
      </c>
      <c r="K97" s="3" t="s">
        <v>951</v>
      </c>
      <c r="L97" s="3" t="s">
        <v>62</v>
      </c>
      <c r="M97" s="3" t="s">
        <v>99</v>
      </c>
      <c r="N97" s="3" t="s">
        <v>38</v>
      </c>
      <c r="O97" s="3" t="s">
        <v>39</v>
      </c>
      <c r="P97" s="3" t="s">
        <v>40</v>
      </c>
      <c r="Q97" s="6">
        <v>0.78</v>
      </c>
      <c r="R97" s="3" t="s">
        <v>41</v>
      </c>
      <c r="S97" s="3" t="s">
        <v>960</v>
      </c>
      <c r="T97" s="3">
        <v>407</v>
      </c>
      <c r="U97" s="3" t="s">
        <v>43</v>
      </c>
      <c r="V97" s="3" t="s">
        <v>44</v>
      </c>
      <c r="W97" s="9"/>
      <c r="X97" s="9" t="s">
        <v>45</v>
      </c>
      <c r="Y97" s="9"/>
    </row>
    <row r="98" spans="1:25" ht="86" customHeight="1">
      <c r="A98" s="3" t="s">
        <v>961</v>
      </c>
      <c r="B98" s="3" t="s">
        <v>962</v>
      </c>
      <c r="C98" s="3" t="s">
        <v>963</v>
      </c>
      <c r="D98" s="3" t="s">
        <v>962</v>
      </c>
      <c r="E98" s="3" t="s">
        <v>30</v>
      </c>
      <c r="F98" s="3" t="s">
        <v>944</v>
      </c>
      <c r="G98" s="3" t="s">
        <v>945</v>
      </c>
      <c r="H98" s="3" t="s">
        <v>33</v>
      </c>
      <c r="I98" s="3" t="s">
        <v>34</v>
      </c>
      <c r="J98" s="3" t="s">
        <v>34</v>
      </c>
      <c r="K98" s="3" t="s">
        <v>951</v>
      </c>
      <c r="L98" s="3" t="s">
        <v>57</v>
      </c>
      <c r="M98" s="3"/>
      <c r="N98" s="3" t="s">
        <v>38</v>
      </c>
      <c r="O98" s="3" t="s">
        <v>51</v>
      </c>
      <c r="P98" s="3" t="s">
        <v>40</v>
      </c>
      <c r="Q98" s="6">
        <v>0.78</v>
      </c>
      <c r="R98" s="3" t="s">
        <v>41</v>
      </c>
      <c r="S98" s="3" t="s">
        <v>964</v>
      </c>
      <c r="T98" s="3">
        <v>333</v>
      </c>
      <c r="U98" s="3" t="s">
        <v>43</v>
      </c>
      <c r="V98" s="3" t="s">
        <v>44</v>
      </c>
      <c r="W98" s="9"/>
      <c r="X98" s="9" t="s">
        <v>45</v>
      </c>
      <c r="Y98" s="9"/>
    </row>
    <row r="99" spans="1:25" ht="86" customHeight="1">
      <c r="A99" s="3" t="s">
        <v>973</v>
      </c>
      <c r="B99" s="3" t="s">
        <v>974</v>
      </c>
      <c r="C99" s="3" t="s">
        <v>975</v>
      </c>
      <c r="D99" s="3" t="s">
        <v>974</v>
      </c>
      <c r="E99" s="3" t="s">
        <v>30</v>
      </c>
      <c r="F99" s="3" t="s">
        <v>968</v>
      </c>
      <c r="G99" s="3" t="s">
        <v>969</v>
      </c>
      <c r="H99" s="3" t="s">
        <v>76</v>
      </c>
      <c r="I99" s="3" t="s">
        <v>34</v>
      </c>
      <c r="J99" s="3" t="s">
        <v>970</v>
      </c>
      <c r="K99" s="3" t="s">
        <v>971</v>
      </c>
      <c r="L99" s="3" t="s">
        <v>49</v>
      </c>
      <c r="M99" s="3" t="s">
        <v>976</v>
      </c>
      <c r="N99" s="3" t="s">
        <v>38</v>
      </c>
      <c r="O99" s="3" t="s">
        <v>39</v>
      </c>
      <c r="P99" s="3" t="s">
        <v>40</v>
      </c>
      <c r="Q99" s="6">
        <v>0.84</v>
      </c>
      <c r="R99" s="3" t="s">
        <v>41</v>
      </c>
      <c r="S99" s="3" t="s">
        <v>977</v>
      </c>
      <c r="T99" s="3">
        <v>174</v>
      </c>
      <c r="U99" s="3" t="s">
        <v>43</v>
      </c>
      <c r="V99" s="3" t="s">
        <v>44</v>
      </c>
      <c r="W99" s="9"/>
      <c r="X99" s="9" t="s">
        <v>45</v>
      </c>
      <c r="Y99" s="9"/>
    </row>
    <row r="100" spans="1:25" ht="86" customHeight="1">
      <c r="A100" s="3" t="s">
        <v>978</v>
      </c>
      <c r="B100" s="3" t="s">
        <v>979</v>
      </c>
      <c r="C100" s="3" t="s">
        <v>980</v>
      </c>
      <c r="D100" s="3" t="s">
        <v>979</v>
      </c>
      <c r="E100" s="3" t="s">
        <v>30</v>
      </c>
      <c r="F100" s="3" t="s">
        <v>968</v>
      </c>
      <c r="G100" s="3" t="s">
        <v>969</v>
      </c>
      <c r="H100" s="3" t="s">
        <v>33</v>
      </c>
      <c r="I100" s="3" t="s">
        <v>970</v>
      </c>
      <c r="J100" s="3" t="s">
        <v>970</v>
      </c>
      <c r="K100" s="3" t="s">
        <v>981</v>
      </c>
      <c r="L100" s="3" t="s">
        <v>50</v>
      </c>
      <c r="M100" s="3" t="s">
        <v>106</v>
      </c>
      <c r="N100" s="3" t="s">
        <v>38</v>
      </c>
      <c r="O100" s="3" t="s">
        <v>51</v>
      </c>
      <c r="P100" s="3" t="s">
        <v>40</v>
      </c>
      <c r="Q100" s="6">
        <v>0.78</v>
      </c>
      <c r="R100" s="3" t="s">
        <v>41</v>
      </c>
      <c r="S100" s="3" t="s">
        <v>982</v>
      </c>
      <c r="T100" s="3">
        <v>156</v>
      </c>
      <c r="U100" s="3" t="s">
        <v>43</v>
      </c>
      <c r="V100" s="3" t="s">
        <v>44</v>
      </c>
      <c r="W100" s="9"/>
      <c r="X100" s="9" t="s">
        <v>45</v>
      </c>
      <c r="Y100" s="9"/>
    </row>
    <row r="101" spans="1:25" ht="86" customHeight="1">
      <c r="A101" s="3" t="s">
        <v>1007</v>
      </c>
      <c r="B101" s="3" t="s">
        <v>1008</v>
      </c>
      <c r="C101" s="3" t="s">
        <v>1009</v>
      </c>
      <c r="D101" s="3" t="s">
        <v>1008</v>
      </c>
      <c r="E101" s="3" t="s">
        <v>30</v>
      </c>
      <c r="F101" s="3" t="s">
        <v>968</v>
      </c>
      <c r="G101" s="3" t="s">
        <v>969</v>
      </c>
      <c r="H101" s="3" t="s">
        <v>76</v>
      </c>
      <c r="I101" s="3" t="s">
        <v>34</v>
      </c>
      <c r="J101" s="3" t="s">
        <v>970</v>
      </c>
      <c r="K101" s="3" t="s">
        <v>1010</v>
      </c>
      <c r="L101" s="3" t="s">
        <v>49</v>
      </c>
      <c r="M101" s="3" t="s">
        <v>934</v>
      </c>
      <c r="N101" s="3" t="s">
        <v>38</v>
      </c>
      <c r="O101" s="3" t="s">
        <v>51</v>
      </c>
      <c r="P101" s="3" t="s">
        <v>40</v>
      </c>
      <c r="Q101" s="6">
        <v>0.84</v>
      </c>
      <c r="R101" s="3" t="s">
        <v>41</v>
      </c>
      <c r="S101" s="3" t="s">
        <v>1011</v>
      </c>
      <c r="T101" s="3">
        <v>156</v>
      </c>
      <c r="U101" s="3" t="s">
        <v>43</v>
      </c>
      <c r="V101" s="3" t="s">
        <v>44</v>
      </c>
      <c r="W101" s="9"/>
      <c r="X101" s="9" t="s">
        <v>45</v>
      </c>
      <c r="Y101" s="9"/>
    </row>
    <row r="102" spans="1:25" ht="86" customHeight="1">
      <c r="A102" s="3" t="s">
        <v>1042</v>
      </c>
      <c r="B102" s="3" t="s">
        <v>1043</v>
      </c>
      <c r="C102" s="3" t="s">
        <v>1044</v>
      </c>
      <c r="D102" s="3" t="s">
        <v>1043</v>
      </c>
      <c r="E102" s="3" t="s">
        <v>30</v>
      </c>
      <c r="F102" s="3" t="s">
        <v>968</v>
      </c>
      <c r="G102" s="3" t="s">
        <v>969</v>
      </c>
      <c r="H102" s="3" t="s">
        <v>76</v>
      </c>
      <c r="I102" s="3" t="s">
        <v>34</v>
      </c>
      <c r="J102" s="3" t="s">
        <v>970</v>
      </c>
      <c r="K102" s="3" t="s">
        <v>1045</v>
      </c>
      <c r="L102" s="3" t="s">
        <v>71</v>
      </c>
      <c r="M102" s="3" t="s">
        <v>508</v>
      </c>
      <c r="N102" s="3" t="s">
        <v>38</v>
      </c>
      <c r="O102" s="3" t="s">
        <v>39</v>
      </c>
      <c r="P102" s="3" t="s">
        <v>40</v>
      </c>
      <c r="Q102" s="6">
        <v>0.84</v>
      </c>
      <c r="R102" s="3" t="s">
        <v>41</v>
      </c>
      <c r="S102" s="3" t="s">
        <v>1046</v>
      </c>
      <c r="T102" s="3">
        <v>301</v>
      </c>
      <c r="U102" s="3" t="s">
        <v>43</v>
      </c>
      <c r="V102" s="3" t="s">
        <v>44</v>
      </c>
      <c r="W102" s="9"/>
      <c r="X102" s="9" t="s">
        <v>45</v>
      </c>
      <c r="Y102" s="9"/>
    </row>
    <row r="103" spans="1:25" ht="86" customHeight="1">
      <c r="A103" s="3" t="s">
        <v>1047</v>
      </c>
      <c r="B103" s="3" t="s">
        <v>1048</v>
      </c>
      <c r="C103" s="3" t="s">
        <v>1049</v>
      </c>
      <c r="D103" s="3" t="s">
        <v>1048</v>
      </c>
      <c r="E103" s="3" t="s">
        <v>30</v>
      </c>
      <c r="F103" s="3" t="s">
        <v>968</v>
      </c>
      <c r="G103" s="3" t="s">
        <v>969</v>
      </c>
      <c r="H103" s="3" t="s">
        <v>76</v>
      </c>
      <c r="I103" s="3" t="s">
        <v>34</v>
      </c>
      <c r="J103" s="3" t="s">
        <v>970</v>
      </c>
      <c r="K103" s="3" t="s">
        <v>1050</v>
      </c>
      <c r="L103" s="3" t="s">
        <v>71</v>
      </c>
      <c r="M103" s="3" t="s">
        <v>508</v>
      </c>
      <c r="N103" s="3" t="s">
        <v>38</v>
      </c>
      <c r="O103" s="3" t="s">
        <v>39</v>
      </c>
      <c r="P103" s="3" t="s">
        <v>40</v>
      </c>
      <c r="Q103" s="6">
        <v>0.84</v>
      </c>
      <c r="R103" s="3" t="s">
        <v>41</v>
      </c>
      <c r="S103" s="3" t="s">
        <v>1051</v>
      </c>
      <c r="T103" s="3">
        <v>282</v>
      </c>
      <c r="U103" s="3" t="s">
        <v>43</v>
      </c>
      <c r="V103" s="3" t="s">
        <v>44</v>
      </c>
      <c r="W103" s="9"/>
      <c r="X103" s="9" t="s">
        <v>45</v>
      </c>
      <c r="Y103" s="9"/>
    </row>
    <row r="104" spans="1:25" ht="86" customHeight="1">
      <c r="A104" s="3" t="s">
        <v>1092</v>
      </c>
      <c r="B104" s="3" t="s">
        <v>1093</v>
      </c>
      <c r="C104" s="3" t="s">
        <v>1094</v>
      </c>
      <c r="D104" s="3" t="s">
        <v>1093</v>
      </c>
      <c r="E104" s="3" t="s">
        <v>30</v>
      </c>
      <c r="F104" s="3" t="s">
        <v>968</v>
      </c>
      <c r="G104" s="3" t="s">
        <v>969</v>
      </c>
      <c r="H104" s="3" t="s">
        <v>76</v>
      </c>
      <c r="I104" s="3" t="s">
        <v>34</v>
      </c>
      <c r="J104" s="3" t="s">
        <v>970</v>
      </c>
      <c r="K104" s="3" t="s">
        <v>1095</v>
      </c>
      <c r="L104" s="3" t="s">
        <v>36</v>
      </c>
      <c r="M104" s="3"/>
      <c r="N104" s="3" t="s">
        <v>38</v>
      </c>
      <c r="O104" s="3" t="s">
        <v>51</v>
      </c>
      <c r="P104" s="3" t="s">
        <v>40</v>
      </c>
      <c r="Q104" s="6">
        <v>0.84</v>
      </c>
      <c r="R104" s="3" t="s">
        <v>41</v>
      </c>
      <c r="S104" s="3" t="s">
        <v>1096</v>
      </c>
      <c r="T104" s="3">
        <v>53</v>
      </c>
      <c r="U104" s="3" t="s">
        <v>43</v>
      </c>
      <c r="V104" s="3" t="s">
        <v>44</v>
      </c>
      <c r="W104" s="9"/>
      <c r="X104" s="9" t="s">
        <v>45</v>
      </c>
      <c r="Y104" s="9"/>
    </row>
    <row r="105" spans="1:25" ht="86" customHeight="1">
      <c r="A105" s="3" t="s">
        <v>1102</v>
      </c>
      <c r="B105" s="3" t="s">
        <v>1103</v>
      </c>
      <c r="C105" s="3" t="s">
        <v>1104</v>
      </c>
      <c r="D105" s="3" t="s">
        <v>1103</v>
      </c>
      <c r="E105" s="3" t="s">
        <v>30</v>
      </c>
      <c r="F105" s="3" t="s">
        <v>968</v>
      </c>
      <c r="G105" s="3" t="s">
        <v>969</v>
      </c>
      <c r="H105" s="3" t="s">
        <v>76</v>
      </c>
      <c r="I105" s="3" t="s">
        <v>34</v>
      </c>
      <c r="J105" s="3" t="s">
        <v>970</v>
      </c>
      <c r="K105" s="3" t="s">
        <v>1105</v>
      </c>
      <c r="L105" s="3" t="s">
        <v>36</v>
      </c>
      <c r="M105" s="3" t="s">
        <v>62</v>
      </c>
      <c r="N105" s="3" t="s">
        <v>38</v>
      </c>
      <c r="O105" s="3" t="s">
        <v>51</v>
      </c>
      <c r="P105" s="3" t="s">
        <v>40</v>
      </c>
      <c r="Q105" s="6">
        <v>0.84</v>
      </c>
      <c r="R105" s="3" t="s">
        <v>41</v>
      </c>
      <c r="S105" s="3" t="s">
        <v>1106</v>
      </c>
      <c r="T105" s="3">
        <v>56</v>
      </c>
      <c r="U105" s="3" t="s">
        <v>43</v>
      </c>
      <c r="V105" s="3" t="s">
        <v>44</v>
      </c>
      <c r="W105" s="9"/>
      <c r="X105" s="9" t="s">
        <v>45</v>
      </c>
      <c r="Y105" s="9"/>
    </row>
    <row r="106" spans="1:25" ht="86" customHeight="1">
      <c r="A106" s="3" t="s">
        <v>1143</v>
      </c>
      <c r="B106" s="3" t="s">
        <v>1144</v>
      </c>
      <c r="C106" s="3" t="s">
        <v>1145</v>
      </c>
      <c r="D106" s="3" t="s">
        <v>1144</v>
      </c>
      <c r="E106" s="3" t="s">
        <v>30</v>
      </c>
      <c r="F106" s="3" t="s">
        <v>968</v>
      </c>
      <c r="G106" s="3" t="s">
        <v>969</v>
      </c>
      <c r="H106" s="3" t="s">
        <v>76</v>
      </c>
      <c r="I106" s="3" t="s">
        <v>34</v>
      </c>
      <c r="J106" s="3" t="s">
        <v>970</v>
      </c>
      <c r="K106" s="3" t="s">
        <v>1146</v>
      </c>
      <c r="L106" s="3" t="s">
        <v>62</v>
      </c>
      <c r="M106" s="3"/>
      <c r="N106" s="3" t="s">
        <v>100</v>
      </c>
      <c r="O106" s="3" t="s">
        <v>51</v>
      </c>
      <c r="P106" s="3" t="s">
        <v>40</v>
      </c>
      <c r="Q106" s="6">
        <v>0.84</v>
      </c>
      <c r="R106" s="3" t="s">
        <v>41</v>
      </c>
      <c r="S106" s="3" t="s">
        <v>1147</v>
      </c>
      <c r="T106" s="3">
        <v>160</v>
      </c>
      <c r="U106" s="3" t="s">
        <v>43</v>
      </c>
      <c r="V106" s="3" t="s">
        <v>44</v>
      </c>
      <c r="W106" s="9"/>
      <c r="X106" s="9" t="s">
        <v>45</v>
      </c>
      <c r="Y106" s="9"/>
    </row>
    <row r="107" spans="1:25" ht="86" customHeight="1">
      <c r="A107" s="3" t="s">
        <v>1170</v>
      </c>
      <c r="B107" s="3" t="s">
        <v>1171</v>
      </c>
      <c r="C107" s="3" t="s">
        <v>1172</v>
      </c>
      <c r="D107" s="3" t="s">
        <v>1171</v>
      </c>
      <c r="E107" s="3" t="s">
        <v>30</v>
      </c>
      <c r="F107" s="3" t="s">
        <v>1165</v>
      </c>
      <c r="G107" s="3" t="s">
        <v>1166</v>
      </c>
      <c r="H107" s="3" t="s">
        <v>33</v>
      </c>
      <c r="I107" s="3" t="s">
        <v>1167</v>
      </c>
      <c r="J107" s="3" t="s">
        <v>1167</v>
      </c>
      <c r="K107" s="3" t="s">
        <v>1173</v>
      </c>
      <c r="L107" s="3" t="s">
        <v>49</v>
      </c>
      <c r="M107" s="3" t="s">
        <v>62</v>
      </c>
      <c r="N107" s="3" t="s">
        <v>38</v>
      </c>
      <c r="O107" s="3" t="s">
        <v>51</v>
      </c>
      <c r="P107" s="3" t="s">
        <v>40</v>
      </c>
      <c r="Q107" s="6">
        <v>0.78</v>
      </c>
      <c r="R107" s="3" t="s">
        <v>41</v>
      </c>
      <c r="S107" s="3" t="s">
        <v>1174</v>
      </c>
      <c r="T107" s="3">
        <v>411</v>
      </c>
      <c r="U107" s="3" t="s">
        <v>43</v>
      </c>
      <c r="V107" s="3" t="s">
        <v>44</v>
      </c>
      <c r="W107" s="9"/>
      <c r="X107" s="9" t="s">
        <v>45</v>
      </c>
      <c r="Y107" s="9"/>
    </row>
    <row r="108" spans="1:25" ht="86" customHeight="1">
      <c r="A108" s="3" t="s">
        <v>1180</v>
      </c>
      <c r="B108" s="3" t="s">
        <v>1181</v>
      </c>
      <c r="C108" s="3" t="s">
        <v>1182</v>
      </c>
      <c r="D108" s="3" t="s">
        <v>1181</v>
      </c>
      <c r="E108" s="3" t="s">
        <v>30</v>
      </c>
      <c r="F108" s="3" t="s">
        <v>1165</v>
      </c>
      <c r="G108" s="3" t="s">
        <v>1166</v>
      </c>
      <c r="H108" s="3" t="s">
        <v>33</v>
      </c>
      <c r="I108" s="3" t="s">
        <v>1167</v>
      </c>
      <c r="J108" s="3" t="s">
        <v>1167</v>
      </c>
      <c r="K108" s="3" t="s">
        <v>1183</v>
      </c>
      <c r="L108" s="3" t="s">
        <v>49</v>
      </c>
      <c r="M108" s="3" t="s">
        <v>50</v>
      </c>
      <c r="N108" s="3" t="s">
        <v>38</v>
      </c>
      <c r="O108" s="3" t="s">
        <v>51</v>
      </c>
      <c r="P108" s="3" t="s">
        <v>40</v>
      </c>
      <c r="Q108" s="6">
        <v>0.78</v>
      </c>
      <c r="R108" s="3" t="s">
        <v>41</v>
      </c>
      <c r="S108" s="3" t="s">
        <v>1184</v>
      </c>
      <c r="T108" s="3">
        <v>41</v>
      </c>
      <c r="U108" s="3" t="s">
        <v>43</v>
      </c>
      <c r="V108" s="3" t="s">
        <v>44</v>
      </c>
      <c r="W108" s="9"/>
      <c r="X108" s="9" t="s">
        <v>45</v>
      </c>
      <c r="Y108" s="9"/>
    </row>
    <row r="109" spans="1:25" ht="86" customHeight="1">
      <c r="A109" s="3" t="s">
        <v>1195</v>
      </c>
      <c r="B109" s="3" t="s">
        <v>1196</v>
      </c>
      <c r="C109" s="3" t="s">
        <v>1197</v>
      </c>
      <c r="D109" s="3" t="s">
        <v>1196</v>
      </c>
      <c r="E109" s="3" t="s">
        <v>30</v>
      </c>
      <c r="F109" s="3" t="s">
        <v>1165</v>
      </c>
      <c r="G109" s="3" t="s">
        <v>1166</v>
      </c>
      <c r="H109" s="3" t="s">
        <v>76</v>
      </c>
      <c r="I109" s="3" t="s">
        <v>34</v>
      </c>
      <c r="J109" s="3" t="s">
        <v>1167</v>
      </c>
      <c r="K109" s="3" t="s">
        <v>1198</v>
      </c>
      <c r="L109" s="3" t="s">
        <v>49</v>
      </c>
      <c r="M109" s="3" t="s">
        <v>291</v>
      </c>
      <c r="N109" s="3" t="s">
        <v>38</v>
      </c>
      <c r="O109" s="3" t="s">
        <v>39</v>
      </c>
      <c r="P109" s="3" t="s">
        <v>40</v>
      </c>
      <c r="Q109" s="6">
        <v>0.84</v>
      </c>
      <c r="R109" s="3" t="s">
        <v>41</v>
      </c>
      <c r="S109" s="3" t="s">
        <v>1199</v>
      </c>
      <c r="T109" s="3">
        <v>563</v>
      </c>
      <c r="U109" s="3" t="s">
        <v>43</v>
      </c>
      <c r="V109" s="3" t="s">
        <v>44</v>
      </c>
      <c r="W109" s="9"/>
      <c r="X109" s="9" t="s">
        <v>45</v>
      </c>
      <c r="Y109" s="9"/>
    </row>
    <row r="110" spans="1:25" ht="86" customHeight="1">
      <c r="A110" s="3" t="s">
        <v>1200</v>
      </c>
      <c r="B110" s="3" t="s">
        <v>1201</v>
      </c>
      <c r="C110" s="3" t="s">
        <v>1202</v>
      </c>
      <c r="D110" s="3" t="s">
        <v>1201</v>
      </c>
      <c r="E110" s="3" t="s">
        <v>30</v>
      </c>
      <c r="F110" s="3" t="s">
        <v>1165</v>
      </c>
      <c r="G110" s="3" t="s">
        <v>1166</v>
      </c>
      <c r="H110" s="3" t="s">
        <v>33</v>
      </c>
      <c r="I110" s="3" t="s">
        <v>1167</v>
      </c>
      <c r="J110" s="3" t="s">
        <v>1167</v>
      </c>
      <c r="K110" s="3" t="s">
        <v>1203</v>
      </c>
      <c r="L110" s="3" t="s">
        <v>49</v>
      </c>
      <c r="M110" s="3" t="s">
        <v>36</v>
      </c>
      <c r="N110" s="3" t="s">
        <v>38</v>
      </c>
      <c r="O110" s="3" t="s">
        <v>51</v>
      </c>
      <c r="P110" s="3" t="s">
        <v>40</v>
      </c>
      <c r="Q110" s="6">
        <v>0.78</v>
      </c>
      <c r="R110" s="3" t="s">
        <v>41</v>
      </c>
      <c r="S110" s="3" t="s">
        <v>1204</v>
      </c>
      <c r="T110" s="3">
        <v>78</v>
      </c>
      <c r="U110" s="3" t="s">
        <v>43</v>
      </c>
      <c r="V110" s="3" t="s">
        <v>44</v>
      </c>
      <c r="W110" s="9"/>
      <c r="X110" s="9" t="s">
        <v>45</v>
      </c>
      <c r="Y110" s="9"/>
    </row>
    <row r="111" spans="1:25" ht="86" customHeight="1">
      <c r="A111" s="3" t="s">
        <v>1215</v>
      </c>
      <c r="B111" s="3" t="s">
        <v>1216</v>
      </c>
      <c r="C111" s="3" t="s">
        <v>1217</v>
      </c>
      <c r="D111" s="3" t="s">
        <v>1216</v>
      </c>
      <c r="E111" s="3" t="s">
        <v>30</v>
      </c>
      <c r="F111" s="3" t="s">
        <v>1165</v>
      </c>
      <c r="G111" s="3" t="s">
        <v>1166</v>
      </c>
      <c r="H111" s="3" t="s">
        <v>76</v>
      </c>
      <c r="I111" s="3" t="s">
        <v>34</v>
      </c>
      <c r="J111" s="3" t="s">
        <v>1167</v>
      </c>
      <c r="K111" s="3" t="s">
        <v>1218</v>
      </c>
      <c r="L111" s="3" t="s">
        <v>49</v>
      </c>
      <c r="M111" s="3" t="s">
        <v>62</v>
      </c>
      <c r="N111" s="3" t="s">
        <v>38</v>
      </c>
      <c r="O111" s="3" t="s">
        <v>39</v>
      </c>
      <c r="P111" s="3" t="s">
        <v>40</v>
      </c>
      <c r="Q111" s="6">
        <v>0.84</v>
      </c>
      <c r="R111" s="3" t="s">
        <v>41</v>
      </c>
      <c r="S111" s="3" t="s">
        <v>1219</v>
      </c>
      <c r="T111" s="3">
        <v>602</v>
      </c>
      <c r="U111" s="3" t="s">
        <v>43</v>
      </c>
      <c r="V111" s="3" t="s">
        <v>44</v>
      </c>
      <c r="W111" s="9"/>
      <c r="X111" s="9" t="s">
        <v>45</v>
      </c>
      <c r="Y111" s="9"/>
    </row>
    <row r="112" spans="1:25" ht="86" customHeight="1">
      <c r="A112" s="3" t="s">
        <v>1225</v>
      </c>
      <c r="B112" s="3" t="s">
        <v>1226</v>
      </c>
      <c r="C112" s="3" t="s">
        <v>1227</v>
      </c>
      <c r="D112" s="3" t="s">
        <v>1226</v>
      </c>
      <c r="E112" s="3" t="s">
        <v>30</v>
      </c>
      <c r="F112" s="3" t="s">
        <v>1165</v>
      </c>
      <c r="G112" s="3" t="s">
        <v>1166</v>
      </c>
      <c r="H112" s="3" t="s">
        <v>33</v>
      </c>
      <c r="I112" s="3" t="s">
        <v>34</v>
      </c>
      <c r="J112" s="3" t="s">
        <v>34</v>
      </c>
      <c r="K112" s="3" t="s">
        <v>1228</v>
      </c>
      <c r="L112" s="3" t="s">
        <v>49</v>
      </c>
      <c r="M112" s="3" t="s">
        <v>62</v>
      </c>
      <c r="N112" s="3" t="s">
        <v>38</v>
      </c>
      <c r="O112" s="3" t="s">
        <v>51</v>
      </c>
      <c r="P112" s="3" t="s">
        <v>40</v>
      </c>
      <c r="Q112" s="6">
        <v>0.78</v>
      </c>
      <c r="R112" s="3" t="s">
        <v>41</v>
      </c>
      <c r="S112" s="3" t="s">
        <v>1229</v>
      </c>
      <c r="T112" s="3">
        <v>64</v>
      </c>
      <c r="U112" s="3" t="s">
        <v>43</v>
      </c>
      <c r="V112" s="3" t="s">
        <v>44</v>
      </c>
      <c r="W112" s="9"/>
      <c r="X112" s="9" t="s">
        <v>45</v>
      </c>
      <c r="Y112" s="9"/>
    </row>
    <row r="113" spans="1:25" ht="86" customHeight="1">
      <c r="A113" s="3" t="s">
        <v>1240</v>
      </c>
      <c r="B113" s="3" t="s">
        <v>1241</v>
      </c>
      <c r="C113" s="3" t="s">
        <v>1242</v>
      </c>
      <c r="D113" s="3" t="s">
        <v>1241</v>
      </c>
      <c r="E113" s="3" t="s">
        <v>30</v>
      </c>
      <c r="F113" s="3" t="s">
        <v>1165</v>
      </c>
      <c r="G113" s="3" t="s">
        <v>1166</v>
      </c>
      <c r="H113" s="3" t="s">
        <v>33</v>
      </c>
      <c r="I113" s="3" t="s">
        <v>1167</v>
      </c>
      <c r="J113" s="3" t="s">
        <v>1167</v>
      </c>
      <c r="K113" s="3" t="s">
        <v>1238</v>
      </c>
      <c r="L113" s="3" t="s">
        <v>49</v>
      </c>
      <c r="M113" s="3"/>
      <c r="N113" s="3" t="s">
        <v>38</v>
      </c>
      <c r="O113" s="3" t="s">
        <v>51</v>
      </c>
      <c r="P113" s="3" t="s">
        <v>40</v>
      </c>
      <c r="Q113" s="6">
        <v>0.78</v>
      </c>
      <c r="R113" s="3" t="s">
        <v>41</v>
      </c>
      <c r="S113" s="3" t="s">
        <v>1243</v>
      </c>
      <c r="T113" s="3">
        <v>163</v>
      </c>
      <c r="U113" s="3" t="s">
        <v>43</v>
      </c>
      <c r="V113" s="3" t="s">
        <v>44</v>
      </c>
      <c r="W113" s="9"/>
      <c r="X113" s="9" t="s">
        <v>45</v>
      </c>
      <c r="Y113" s="9"/>
    </row>
    <row r="114" spans="1:25" ht="86" customHeight="1">
      <c r="A114" s="3" t="s">
        <v>1254</v>
      </c>
      <c r="B114" s="3" t="s">
        <v>1255</v>
      </c>
      <c r="C114" s="3" t="s">
        <v>1256</v>
      </c>
      <c r="D114" s="3" t="s">
        <v>1255</v>
      </c>
      <c r="E114" s="3" t="s">
        <v>30</v>
      </c>
      <c r="F114" s="3" t="s">
        <v>1165</v>
      </c>
      <c r="G114" s="3" t="s">
        <v>1166</v>
      </c>
      <c r="H114" s="3" t="s">
        <v>33</v>
      </c>
      <c r="I114" s="3" t="s">
        <v>1167</v>
      </c>
      <c r="J114" s="3" t="s">
        <v>1167</v>
      </c>
      <c r="K114" s="3" t="s">
        <v>1257</v>
      </c>
      <c r="L114" s="3" t="s">
        <v>49</v>
      </c>
      <c r="M114" s="3" t="s">
        <v>71</v>
      </c>
      <c r="N114" s="3" t="s">
        <v>38</v>
      </c>
      <c r="O114" s="3" t="s">
        <v>39</v>
      </c>
      <c r="P114" s="3" t="s">
        <v>40</v>
      </c>
      <c r="Q114" s="6">
        <v>0.78</v>
      </c>
      <c r="R114" s="3" t="s">
        <v>41</v>
      </c>
      <c r="S114" s="3" t="s">
        <v>1258</v>
      </c>
      <c r="T114" s="3">
        <v>443</v>
      </c>
      <c r="U114" s="3" t="s">
        <v>43</v>
      </c>
      <c r="V114" s="3" t="s">
        <v>44</v>
      </c>
      <c r="W114" s="9"/>
      <c r="X114" s="9" t="s">
        <v>45</v>
      </c>
      <c r="Y114" s="9"/>
    </row>
    <row r="115" spans="1:25" ht="86" customHeight="1">
      <c r="A115" s="3" t="s">
        <v>1264</v>
      </c>
      <c r="B115" s="3" t="s">
        <v>1265</v>
      </c>
      <c r="C115" s="3" t="s">
        <v>1266</v>
      </c>
      <c r="D115" s="3" t="s">
        <v>1265</v>
      </c>
      <c r="E115" s="3" t="s">
        <v>30</v>
      </c>
      <c r="F115" s="3" t="s">
        <v>1165</v>
      </c>
      <c r="G115" s="3" t="s">
        <v>1166</v>
      </c>
      <c r="H115" s="3" t="s">
        <v>33</v>
      </c>
      <c r="I115" s="3" t="s">
        <v>1167</v>
      </c>
      <c r="J115" s="3" t="s">
        <v>1167</v>
      </c>
      <c r="K115" s="3" t="s">
        <v>1267</v>
      </c>
      <c r="L115" s="3" t="s">
        <v>71</v>
      </c>
      <c r="M115" s="3" t="s">
        <v>49</v>
      </c>
      <c r="N115" s="3" t="s">
        <v>38</v>
      </c>
      <c r="O115" s="3" t="s">
        <v>51</v>
      </c>
      <c r="P115" s="3" t="s">
        <v>40</v>
      </c>
      <c r="Q115" s="6">
        <v>0.78</v>
      </c>
      <c r="R115" s="3" t="s">
        <v>41</v>
      </c>
      <c r="S115" s="3" t="s">
        <v>1268</v>
      </c>
      <c r="T115" s="3">
        <v>40</v>
      </c>
      <c r="U115" s="3" t="s">
        <v>43</v>
      </c>
      <c r="V115" s="3" t="s">
        <v>44</v>
      </c>
      <c r="W115" s="9"/>
      <c r="X115" s="9" t="s">
        <v>45</v>
      </c>
      <c r="Y115" s="9"/>
    </row>
    <row r="116" spans="1:25" ht="86" customHeight="1">
      <c r="A116" s="3" t="s">
        <v>1280</v>
      </c>
      <c r="B116" s="3" t="s">
        <v>1277</v>
      </c>
      <c r="C116" s="3" t="s">
        <v>1281</v>
      </c>
      <c r="D116" s="3" t="s">
        <v>1277</v>
      </c>
      <c r="E116" s="3" t="s">
        <v>30</v>
      </c>
      <c r="F116" s="3" t="s">
        <v>1165</v>
      </c>
      <c r="G116" s="3" t="s">
        <v>1166</v>
      </c>
      <c r="H116" s="3" t="s">
        <v>33</v>
      </c>
      <c r="I116" s="3" t="s">
        <v>34</v>
      </c>
      <c r="J116" s="3" t="s">
        <v>34</v>
      </c>
      <c r="K116" s="3" t="s">
        <v>1278</v>
      </c>
      <c r="L116" s="3" t="s">
        <v>36</v>
      </c>
      <c r="M116" s="3"/>
      <c r="N116" s="3" t="s">
        <v>100</v>
      </c>
      <c r="O116" s="3" t="s">
        <v>51</v>
      </c>
      <c r="P116" s="3" t="s">
        <v>40</v>
      </c>
      <c r="Q116" s="6">
        <v>0.78</v>
      </c>
      <c r="R116" s="3" t="s">
        <v>41</v>
      </c>
      <c r="S116" s="3" t="s">
        <v>1282</v>
      </c>
      <c r="T116" s="3">
        <v>102</v>
      </c>
      <c r="U116" s="3" t="s">
        <v>43</v>
      </c>
      <c r="V116" s="3" t="s">
        <v>44</v>
      </c>
      <c r="W116" s="9"/>
      <c r="X116" s="9" t="s">
        <v>45</v>
      </c>
      <c r="Y116" s="9"/>
    </row>
    <row r="117" spans="1:25" ht="86" customHeight="1">
      <c r="A117" s="3" t="s">
        <v>1319</v>
      </c>
      <c r="B117" s="3" t="s">
        <v>1320</v>
      </c>
      <c r="C117" s="3" t="s">
        <v>1321</v>
      </c>
      <c r="D117" s="3" t="s">
        <v>1322</v>
      </c>
      <c r="E117" s="3" t="s">
        <v>51</v>
      </c>
      <c r="F117" s="3" t="s">
        <v>1165</v>
      </c>
      <c r="G117" s="3" t="s">
        <v>1166</v>
      </c>
      <c r="H117" s="3" t="s">
        <v>76</v>
      </c>
      <c r="I117" s="3" t="s">
        <v>34</v>
      </c>
      <c r="J117" s="3" t="s">
        <v>1167</v>
      </c>
      <c r="K117" s="3" t="s">
        <v>1323</v>
      </c>
      <c r="L117" s="3" t="s">
        <v>49</v>
      </c>
      <c r="M117" s="3"/>
      <c r="N117" s="3" t="s">
        <v>100</v>
      </c>
      <c r="O117" s="3" t="s">
        <v>51</v>
      </c>
      <c r="P117" s="3" t="s">
        <v>40</v>
      </c>
      <c r="Q117" s="6">
        <v>0.84</v>
      </c>
      <c r="R117" s="3" t="s">
        <v>41</v>
      </c>
      <c r="S117" s="3" t="s">
        <v>1324</v>
      </c>
      <c r="T117" s="3">
        <v>54</v>
      </c>
      <c r="U117" s="3" t="s">
        <v>43</v>
      </c>
      <c r="V117" s="3" t="s">
        <v>44</v>
      </c>
      <c r="W117" s="9"/>
      <c r="X117" s="9" t="s">
        <v>45</v>
      </c>
      <c r="Y117" s="9"/>
    </row>
    <row r="118" spans="1:25" ht="86" customHeight="1">
      <c r="A118" s="3" t="s">
        <v>1325</v>
      </c>
      <c r="B118" s="3" t="s">
        <v>1326</v>
      </c>
      <c r="C118" s="3" t="s">
        <v>1327</v>
      </c>
      <c r="D118" s="3" t="s">
        <v>1328</v>
      </c>
      <c r="E118" s="3" t="s">
        <v>51</v>
      </c>
      <c r="F118" s="3" t="s">
        <v>1165</v>
      </c>
      <c r="G118" s="3" t="s">
        <v>1166</v>
      </c>
      <c r="H118" s="3" t="s">
        <v>33</v>
      </c>
      <c r="I118" s="3" t="s">
        <v>1167</v>
      </c>
      <c r="J118" s="3" t="s">
        <v>1167</v>
      </c>
      <c r="K118" s="3" t="s">
        <v>1329</v>
      </c>
      <c r="L118" s="3" t="s">
        <v>49</v>
      </c>
      <c r="M118" s="3"/>
      <c r="N118" s="3" t="s">
        <v>100</v>
      </c>
      <c r="O118" s="3" t="s">
        <v>51</v>
      </c>
      <c r="P118" s="3" t="s">
        <v>40</v>
      </c>
      <c r="Q118" s="6">
        <v>0.78</v>
      </c>
      <c r="R118" s="3" t="s">
        <v>41</v>
      </c>
      <c r="S118" s="3" t="s">
        <v>1330</v>
      </c>
      <c r="T118" s="3">
        <v>123</v>
      </c>
      <c r="U118" s="3" t="s">
        <v>43</v>
      </c>
      <c r="V118" s="3" t="s">
        <v>44</v>
      </c>
      <c r="W118" s="9"/>
      <c r="X118" s="9" t="s">
        <v>45</v>
      </c>
      <c r="Y118" s="9"/>
    </row>
    <row r="119" spans="1:25" ht="86" customHeight="1">
      <c r="A119" s="3" t="s">
        <v>1331</v>
      </c>
      <c r="B119" s="3" t="s">
        <v>1332</v>
      </c>
      <c r="C119" s="3" t="s">
        <v>1333</v>
      </c>
      <c r="D119" s="3" t="s">
        <v>1334</v>
      </c>
      <c r="E119" s="3" t="s">
        <v>51</v>
      </c>
      <c r="F119" s="3" t="s">
        <v>1165</v>
      </c>
      <c r="G119" s="3" t="s">
        <v>1166</v>
      </c>
      <c r="H119" s="3" t="s">
        <v>33</v>
      </c>
      <c r="I119" s="3" t="s">
        <v>1167</v>
      </c>
      <c r="J119" s="3" t="s">
        <v>1167</v>
      </c>
      <c r="K119" s="3" t="s">
        <v>1329</v>
      </c>
      <c r="L119" s="3" t="s">
        <v>49</v>
      </c>
      <c r="M119" s="3" t="s">
        <v>1115</v>
      </c>
      <c r="N119" s="3" t="s">
        <v>100</v>
      </c>
      <c r="O119" s="3" t="s">
        <v>51</v>
      </c>
      <c r="P119" s="3" t="s">
        <v>40</v>
      </c>
      <c r="Q119" s="6">
        <v>0.78</v>
      </c>
      <c r="R119" s="3" t="s">
        <v>41</v>
      </c>
      <c r="S119" s="3" t="s">
        <v>1335</v>
      </c>
      <c r="T119" s="3">
        <v>133</v>
      </c>
      <c r="U119" s="3" t="s">
        <v>43</v>
      </c>
      <c r="V119" s="3" t="s">
        <v>44</v>
      </c>
      <c r="W119" s="9"/>
      <c r="X119" s="9" t="s">
        <v>45</v>
      </c>
      <c r="Y119" s="9"/>
    </row>
    <row r="120" spans="1:25" ht="86" customHeight="1">
      <c r="A120" s="4" t="s">
        <v>1346</v>
      </c>
      <c r="B120" s="4" t="s">
        <v>1347</v>
      </c>
      <c r="C120" s="4" t="s">
        <v>1348</v>
      </c>
      <c r="D120" s="4" t="s">
        <v>1347</v>
      </c>
      <c r="E120" s="4" t="s">
        <v>30</v>
      </c>
      <c r="F120" s="4" t="s">
        <v>1165</v>
      </c>
      <c r="G120" s="4" t="s">
        <v>1166</v>
      </c>
      <c r="H120" s="4" t="s">
        <v>33</v>
      </c>
      <c r="I120" s="4" t="s">
        <v>1167</v>
      </c>
      <c r="J120" s="4" t="s">
        <v>1167</v>
      </c>
      <c r="K120" s="4" t="s">
        <v>1349</v>
      </c>
      <c r="L120" s="4" t="s">
        <v>50</v>
      </c>
      <c r="M120" s="4" t="s">
        <v>49</v>
      </c>
      <c r="N120" s="4" t="s">
        <v>38</v>
      </c>
      <c r="O120" s="4" t="s">
        <v>51</v>
      </c>
      <c r="P120" s="4" t="s">
        <v>40</v>
      </c>
      <c r="Q120" s="7">
        <v>0.78</v>
      </c>
      <c r="R120" s="4" t="s">
        <v>41</v>
      </c>
      <c r="S120" s="4" t="s">
        <v>1350</v>
      </c>
      <c r="T120" s="4">
        <v>418</v>
      </c>
      <c r="U120" s="4" t="s">
        <v>43</v>
      </c>
      <c r="V120" s="4" t="s">
        <v>44</v>
      </c>
      <c r="W120" s="10"/>
      <c r="X120" s="10" t="s">
        <v>45</v>
      </c>
      <c r="Y120" s="10"/>
    </row>
  </sheetData>
  <mergeCells count="2">
    <mergeCell ref="A1:Y1"/>
    <mergeCell ref="A2:Y2"/>
  </mergeCells>
  <dataValidations count="1">
    <dataValidation type="list" sqref="X5:X120" xr:uid="{00000000-0002-0000-0100-000000000000}">
      <formula1>"Pending,Include,Exclude,Revise"</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59"/>
  <sheetViews>
    <sheetView showGridLines="0" workbookViewId="0"/>
  </sheetViews>
  <sheetFormatPr baseColWidth="10" defaultColWidth="8.83203125" defaultRowHeight="15"/>
  <cols>
    <col min="1" max="1" width="14" customWidth="1"/>
    <col min="2" max="2" width="18" customWidth="1"/>
    <col min="3" max="3" width="14" customWidth="1"/>
    <col min="4" max="4" width="64" customWidth="1"/>
    <col min="5" max="5" width="76" customWidth="1"/>
    <col min="6" max="6" width="14" customWidth="1"/>
  </cols>
  <sheetData>
    <row r="1" spans="1:6" ht="30" customHeight="1">
      <c r="A1" s="22" t="s">
        <v>1353</v>
      </c>
      <c r="B1" s="22"/>
      <c r="C1" s="22"/>
      <c r="D1" s="22"/>
      <c r="E1" s="22"/>
      <c r="F1" s="22"/>
    </row>
    <row r="2" spans="1:6" ht="42" customHeight="1">
      <c r="A2" s="23" t="s">
        <v>1354</v>
      </c>
      <c r="B2" s="23"/>
      <c r="C2" s="23"/>
      <c r="D2" s="23"/>
      <c r="E2" s="23"/>
      <c r="F2" s="23"/>
    </row>
    <row r="4" spans="1:6" ht="36" customHeight="1">
      <c r="A4" s="1" t="s">
        <v>1355</v>
      </c>
      <c r="B4" s="1" t="s">
        <v>20</v>
      </c>
      <c r="C4" s="1" t="s">
        <v>1356</v>
      </c>
      <c r="D4" s="1" t="s">
        <v>1357</v>
      </c>
      <c r="E4" s="1" t="s">
        <v>5</v>
      </c>
      <c r="F4" s="1" t="s">
        <v>12</v>
      </c>
    </row>
    <row r="5" spans="1:6" ht="66" customHeight="1">
      <c r="A5" s="2" t="s">
        <v>1358</v>
      </c>
      <c r="B5" s="2" t="s">
        <v>201</v>
      </c>
      <c r="C5" s="2" t="s">
        <v>1359</v>
      </c>
      <c r="D5" s="2" t="s">
        <v>1360</v>
      </c>
      <c r="E5" s="2" t="s">
        <v>196</v>
      </c>
      <c r="F5" s="2" t="s">
        <v>198</v>
      </c>
    </row>
    <row r="6" spans="1:6" ht="66" customHeight="1">
      <c r="A6" s="3" t="s">
        <v>1358</v>
      </c>
      <c r="B6" s="3" t="s">
        <v>1361</v>
      </c>
      <c r="C6" s="3" t="s">
        <v>1362</v>
      </c>
      <c r="D6" s="3" t="s">
        <v>1363</v>
      </c>
      <c r="E6" s="3" t="s">
        <v>1364</v>
      </c>
      <c r="F6" s="3" t="s">
        <v>198</v>
      </c>
    </row>
    <row r="7" spans="1:6" ht="66" customHeight="1">
      <c r="A7" s="3" t="s">
        <v>1358</v>
      </c>
      <c r="B7" s="3" t="s">
        <v>1365</v>
      </c>
      <c r="C7" s="3" t="s">
        <v>1362</v>
      </c>
      <c r="D7" s="3" t="s">
        <v>1366</v>
      </c>
      <c r="E7" s="3" t="s">
        <v>1367</v>
      </c>
      <c r="F7" s="3" t="s">
        <v>1368</v>
      </c>
    </row>
    <row r="8" spans="1:6" ht="66" customHeight="1">
      <c r="A8" s="3" t="s">
        <v>1358</v>
      </c>
      <c r="B8" s="3" t="s">
        <v>214</v>
      </c>
      <c r="C8" s="3" t="s">
        <v>1359</v>
      </c>
      <c r="D8" s="3" t="s">
        <v>1360</v>
      </c>
      <c r="E8" s="3" t="s">
        <v>210</v>
      </c>
      <c r="F8" s="3" t="s">
        <v>212</v>
      </c>
    </row>
    <row r="9" spans="1:6" ht="66" customHeight="1">
      <c r="A9" s="3" t="s">
        <v>1358</v>
      </c>
      <c r="B9" s="3" t="s">
        <v>220</v>
      </c>
      <c r="C9" s="3" t="s">
        <v>1359</v>
      </c>
      <c r="D9" s="3" t="s">
        <v>1360</v>
      </c>
      <c r="E9" s="3" t="s">
        <v>216</v>
      </c>
      <c r="F9" s="3" t="s">
        <v>218</v>
      </c>
    </row>
    <row r="10" spans="1:6" ht="66" customHeight="1">
      <c r="A10" s="3" t="s">
        <v>1358</v>
      </c>
      <c r="B10" s="3" t="s">
        <v>224</v>
      </c>
      <c r="C10" s="3" t="s">
        <v>1359</v>
      </c>
      <c r="D10" s="3" t="s">
        <v>1360</v>
      </c>
      <c r="E10" s="3" t="s">
        <v>222</v>
      </c>
      <c r="F10" s="3" t="s">
        <v>218</v>
      </c>
    </row>
    <row r="11" spans="1:6" ht="66" customHeight="1">
      <c r="A11" s="3" t="s">
        <v>1358</v>
      </c>
      <c r="B11" s="3" t="s">
        <v>1369</v>
      </c>
      <c r="C11" s="3" t="s">
        <v>1362</v>
      </c>
      <c r="D11" s="3" t="s">
        <v>1366</v>
      </c>
      <c r="E11" s="3" t="s">
        <v>1370</v>
      </c>
      <c r="F11" s="3" t="s">
        <v>1371</v>
      </c>
    </row>
    <row r="12" spans="1:6" ht="66" customHeight="1">
      <c r="A12" s="3" t="s">
        <v>1358</v>
      </c>
      <c r="B12" s="3" t="s">
        <v>1372</v>
      </c>
      <c r="C12" s="3" t="s">
        <v>1362</v>
      </c>
      <c r="D12" s="3" t="s">
        <v>1366</v>
      </c>
      <c r="E12" s="3" t="s">
        <v>1373</v>
      </c>
      <c r="F12" s="3" t="s">
        <v>1374</v>
      </c>
    </row>
    <row r="13" spans="1:6" ht="66" customHeight="1">
      <c r="A13" s="3" t="s">
        <v>1358</v>
      </c>
      <c r="B13" s="3" t="s">
        <v>1375</v>
      </c>
      <c r="C13" s="3" t="s">
        <v>1362</v>
      </c>
      <c r="D13" s="3" t="s">
        <v>1366</v>
      </c>
      <c r="E13" s="3" t="s">
        <v>1376</v>
      </c>
      <c r="F13" s="3" t="s">
        <v>1374</v>
      </c>
    </row>
    <row r="14" spans="1:6" ht="66" customHeight="1">
      <c r="A14" s="3" t="s">
        <v>1358</v>
      </c>
      <c r="B14" s="3" t="s">
        <v>237</v>
      </c>
      <c r="C14" s="3" t="s">
        <v>1359</v>
      </c>
      <c r="D14" s="3" t="s">
        <v>1360</v>
      </c>
      <c r="E14" s="3" t="s">
        <v>233</v>
      </c>
      <c r="F14" s="3" t="s">
        <v>234</v>
      </c>
    </row>
    <row r="15" spans="1:6" ht="66" customHeight="1">
      <c r="A15" s="3" t="s">
        <v>1358</v>
      </c>
      <c r="B15" s="3" t="s">
        <v>1377</v>
      </c>
      <c r="C15" s="3" t="s">
        <v>1362</v>
      </c>
      <c r="D15" s="3" t="s">
        <v>1366</v>
      </c>
      <c r="E15" s="3" t="s">
        <v>1378</v>
      </c>
      <c r="F15" s="3" t="s">
        <v>1379</v>
      </c>
    </row>
    <row r="16" spans="1:6" ht="66" customHeight="1">
      <c r="A16" s="3" t="s">
        <v>1358</v>
      </c>
      <c r="B16" s="3" t="s">
        <v>1380</v>
      </c>
      <c r="C16" s="3" t="s">
        <v>1362</v>
      </c>
      <c r="D16" s="3" t="s">
        <v>1366</v>
      </c>
      <c r="E16" s="3" t="s">
        <v>1381</v>
      </c>
      <c r="F16" s="3" t="s">
        <v>1379</v>
      </c>
    </row>
    <row r="17" spans="1:6" ht="66" customHeight="1">
      <c r="A17" s="3" t="s">
        <v>1358</v>
      </c>
      <c r="B17" s="3" t="s">
        <v>242</v>
      </c>
      <c r="C17" s="3" t="s">
        <v>1359</v>
      </c>
      <c r="D17" s="3" t="s">
        <v>1360</v>
      </c>
      <c r="E17" s="3" t="s">
        <v>239</v>
      </c>
      <c r="F17" s="3" t="s">
        <v>241</v>
      </c>
    </row>
    <row r="18" spans="1:6" ht="66" customHeight="1">
      <c r="A18" s="3" t="s">
        <v>1358</v>
      </c>
      <c r="B18" s="3" t="s">
        <v>247</v>
      </c>
      <c r="C18" s="3" t="s">
        <v>1359</v>
      </c>
      <c r="D18" s="3" t="s">
        <v>1360</v>
      </c>
      <c r="E18" s="3" t="s">
        <v>244</v>
      </c>
      <c r="F18" s="3" t="s">
        <v>246</v>
      </c>
    </row>
    <row r="19" spans="1:6" ht="66" customHeight="1">
      <c r="A19" s="3" t="s">
        <v>1358</v>
      </c>
      <c r="B19" s="3" t="s">
        <v>251</v>
      </c>
      <c r="C19" s="3" t="s">
        <v>1359</v>
      </c>
      <c r="D19" s="3" t="s">
        <v>1360</v>
      </c>
      <c r="E19" s="3" t="s">
        <v>249</v>
      </c>
      <c r="F19" s="3" t="s">
        <v>246</v>
      </c>
    </row>
    <row r="20" spans="1:6" ht="66" customHeight="1">
      <c r="A20" s="3" t="s">
        <v>1358</v>
      </c>
      <c r="B20" s="3" t="s">
        <v>255</v>
      </c>
      <c r="C20" s="3" t="s">
        <v>1359</v>
      </c>
      <c r="D20" s="3" t="s">
        <v>1360</v>
      </c>
      <c r="E20" s="3" t="s">
        <v>253</v>
      </c>
      <c r="F20" s="3" t="s">
        <v>246</v>
      </c>
    </row>
    <row r="21" spans="1:6" ht="66" customHeight="1">
      <c r="A21" s="3" t="s">
        <v>1358</v>
      </c>
      <c r="B21" s="3" t="s">
        <v>261</v>
      </c>
      <c r="C21" s="3" t="s">
        <v>1359</v>
      </c>
      <c r="D21" s="3" t="s">
        <v>1360</v>
      </c>
      <c r="E21" s="3" t="s">
        <v>259</v>
      </c>
      <c r="F21" s="3" t="s">
        <v>260</v>
      </c>
    </row>
    <row r="22" spans="1:6" ht="66" customHeight="1">
      <c r="A22" s="3" t="s">
        <v>1358</v>
      </c>
      <c r="B22" s="3" t="s">
        <v>1382</v>
      </c>
      <c r="C22" s="3" t="s">
        <v>1362</v>
      </c>
      <c r="D22" s="3" t="s">
        <v>1366</v>
      </c>
      <c r="E22" s="3" t="s">
        <v>1383</v>
      </c>
      <c r="F22" s="3" t="s">
        <v>270</v>
      </c>
    </row>
    <row r="23" spans="1:6" ht="66" customHeight="1">
      <c r="A23" s="3" t="s">
        <v>1358</v>
      </c>
      <c r="B23" s="3" t="s">
        <v>271</v>
      </c>
      <c r="C23" s="3" t="s">
        <v>1359</v>
      </c>
      <c r="D23" s="3" t="s">
        <v>1360</v>
      </c>
      <c r="E23" s="3" t="s">
        <v>268</v>
      </c>
      <c r="F23" s="3" t="s">
        <v>270</v>
      </c>
    </row>
    <row r="24" spans="1:6" ht="66" customHeight="1">
      <c r="A24" s="3" t="s">
        <v>1358</v>
      </c>
      <c r="B24" s="3" t="s">
        <v>287</v>
      </c>
      <c r="C24" s="3" t="s">
        <v>1359</v>
      </c>
      <c r="D24" s="3" t="s">
        <v>1360</v>
      </c>
      <c r="E24" s="3" t="s">
        <v>284</v>
      </c>
      <c r="F24" s="3" t="s">
        <v>286</v>
      </c>
    </row>
    <row r="25" spans="1:6" ht="66" customHeight="1">
      <c r="A25" s="3" t="s">
        <v>1358</v>
      </c>
      <c r="B25" s="3" t="s">
        <v>292</v>
      </c>
      <c r="C25" s="3" t="s">
        <v>1359</v>
      </c>
      <c r="D25" s="3" t="s">
        <v>1360</v>
      </c>
      <c r="E25" s="3" t="s">
        <v>289</v>
      </c>
      <c r="F25" s="3" t="s">
        <v>286</v>
      </c>
    </row>
    <row r="26" spans="1:6" ht="66" customHeight="1">
      <c r="A26" s="3" t="s">
        <v>1358</v>
      </c>
      <c r="B26" s="3" t="s">
        <v>296</v>
      </c>
      <c r="C26" s="3" t="s">
        <v>1359</v>
      </c>
      <c r="D26" s="3" t="s">
        <v>1360</v>
      </c>
      <c r="E26" s="3" t="s">
        <v>294</v>
      </c>
      <c r="F26" s="3" t="s">
        <v>286</v>
      </c>
    </row>
    <row r="27" spans="1:6" ht="66" customHeight="1">
      <c r="A27" s="3" t="s">
        <v>1358</v>
      </c>
      <c r="B27" s="3" t="s">
        <v>304</v>
      </c>
      <c r="C27" s="3" t="s">
        <v>1359</v>
      </c>
      <c r="D27" s="3" t="s">
        <v>1360</v>
      </c>
      <c r="E27" s="3" t="s">
        <v>298</v>
      </c>
      <c r="F27" s="3" t="s">
        <v>303</v>
      </c>
    </row>
    <row r="28" spans="1:6" ht="66" customHeight="1">
      <c r="A28" s="3" t="s">
        <v>1358</v>
      </c>
      <c r="B28" s="3" t="s">
        <v>309</v>
      </c>
      <c r="C28" s="3" t="s">
        <v>1359</v>
      </c>
      <c r="D28" s="3" t="s">
        <v>1360</v>
      </c>
      <c r="E28" s="3" t="s">
        <v>306</v>
      </c>
      <c r="F28" s="3" t="s">
        <v>308</v>
      </c>
    </row>
    <row r="29" spans="1:6" ht="66" customHeight="1">
      <c r="A29" s="3" t="s">
        <v>1358</v>
      </c>
      <c r="B29" s="3" t="s">
        <v>314</v>
      </c>
      <c r="C29" s="3" t="s">
        <v>1359</v>
      </c>
      <c r="D29" s="3" t="s">
        <v>1360</v>
      </c>
      <c r="E29" s="3" t="s">
        <v>311</v>
      </c>
      <c r="F29" s="3" t="s">
        <v>313</v>
      </c>
    </row>
    <row r="30" spans="1:6" ht="66" customHeight="1">
      <c r="A30" s="3" t="s">
        <v>1358</v>
      </c>
      <c r="B30" s="3" t="s">
        <v>325</v>
      </c>
      <c r="C30" s="3" t="s">
        <v>1359</v>
      </c>
      <c r="D30" s="3" t="s">
        <v>1360</v>
      </c>
      <c r="E30" s="3" t="s">
        <v>322</v>
      </c>
      <c r="F30" s="3" t="s">
        <v>324</v>
      </c>
    </row>
    <row r="31" spans="1:6" ht="66" customHeight="1">
      <c r="A31" s="3" t="s">
        <v>1358</v>
      </c>
      <c r="B31" s="3" t="s">
        <v>330</v>
      </c>
      <c r="C31" s="3" t="s">
        <v>1359</v>
      </c>
      <c r="D31" s="3" t="s">
        <v>1360</v>
      </c>
      <c r="E31" s="3" t="s">
        <v>327</v>
      </c>
      <c r="F31" s="3" t="s">
        <v>329</v>
      </c>
    </row>
    <row r="32" spans="1:6" ht="66" customHeight="1">
      <c r="A32" s="3" t="s">
        <v>1358</v>
      </c>
      <c r="B32" s="3" t="s">
        <v>334</v>
      </c>
      <c r="C32" s="3" t="s">
        <v>1359</v>
      </c>
      <c r="D32" s="3" t="s">
        <v>1360</v>
      </c>
      <c r="E32" s="3" t="s">
        <v>332</v>
      </c>
      <c r="F32" s="3" t="s">
        <v>329</v>
      </c>
    </row>
    <row r="33" spans="1:6" ht="66" customHeight="1">
      <c r="A33" s="3" t="s">
        <v>1358</v>
      </c>
      <c r="B33" s="3" t="s">
        <v>339</v>
      </c>
      <c r="C33" s="3" t="s">
        <v>1359</v>
      </c>
      <c r="D33" s="3" t="s">
        <v>1360</v>
      </c>
      <c r="E33" s="3" t="s">
        <v>336</v>
      </c>
      <c r="F33" s="3" t="s">
        <v>338</v>
      </c>
    </row>
    <row r="34" spans="1:6" ht="66" customHeight="1">
      <c r="A34" s="3" t="s">
        <v>1358</v>
      </c>
      <c r="B34" s="3" t="s">
        <v>344</v>
      </c>
      <c r="C34" s="3" t="s">
        <v>1359</v>
      </c>
      <c r="D34" s="3" t="s">
        <v>1360</v>
      </c>
      <c r="E34" s="3" t="s">
        <v>341</v>
      </c>
      <c r="F34" s="3" t="s">
        <v>343</v>
      </c>
    </row>
    <row r="35" spans="1:6" ht="66" customHeight="1">
      <c r="A35" s="3" t="s">
        <v>1358</v>
      </c>
      <c r="B35" s="3" t="s">
        <v>349</v>
      </c>
      <c r="C35" s="3" t="s">
        <v>1359</v>
      </c>
      <c r="D35" s="3" t="s">
        <v>1360</v>
      </c>
      <c r="E35" s="3" t="s">
        <v>346</v>
      </c>
      <c r="F35" s="3" t="s">
        <v>348</v>
      </c>
    </row>
    <row r="36" spans="1:6" ht="66" customHeight="1">
      <c r="A36" s="3" t="s">
        <v>1358</v>
      </c>
      <c r="B36" s="3" t="s">
        <v>1384</v>
      </c>
      <c r="C36" s="3" t="s">
        <v>1362</v>
      </c>
      <c r="D36" s="3" t="s">
        <v>1366</v>
      </c>
      <c r="E36" s="3" t="s">
        <v>1385</v>
      </c>
      <c r="F36" s="3" t="s">
        <v>348</v>
      </c>
    </row>
    <row r="37" spans="1:6" ht="66" customHeight="1">
      <c r="A37" s="3" t="s">
        <v>1358</v>
      </c>
      <c r="B37" s="3" t="s">
        <v>354</v>
      </c>
      <c r="C37" s="3" t="s">
        <v>1359</v>
      </c>
      <c r="D37" s="3" t="s">
        <v>1360</v>
      </c>
      <c r="E37" s="3" t="s">
        <v>351</v>
      </c>
      <c r="F37" s="3" t="s">
        <v>353</v>
      </c>
    </row>
    <row r="38" spans="1:6" ht="66" customHeight="1">
      <c r="A38" s="3" t="s">
        <v>1358</v>
      </c>
      <c r="B38" s="3" t="s">
        <v>363</v>
      </c>
      <c r="C38" s="3" t="s">
        <v>1359</v>
      </c>
      <c r="D38" s="3" t="s">
        <v>1360</v>
      </c>
      <c r="E38" s="3" t="s">
        <v>360</v>
      </c>
      <c r="F38" s="3" t="s">
        <v>362</v>
      </c>
    </row>
    <row r="39" spans="1:6" ht="66" customHeight="1">
      <c r="A39" s="3" t="s">
        <v>1358</v>
      </c>
      <c r="B39" s="3" t="s">
        <v>1386</v>
      </c>
      <c r="C39" s="3" t="s">
        <v>1362</v>
      </c>
      <c r="D39" s="3" t="s">
        <v>1387</v>
      </c>
      <c r="E39" s="3" t="s">
        <v>1388</v>
      </c>
      <c r="F39" s="3" t="s">
        <v>1389</v>
      </c>
    </row>
    <row r="40" spans="1:6" ht="66" customHeight="1">
      <c r="A40" s="3" t="s">
        <v>1358</v>
      </c>
      <c r="B40" s="3" t="s">
        <v>371</v>
      </c>
      <c r="C40" s="3" t="s">
        <v>1359</v>
      </c>
      <c r="D40" s="3" t="s">
        <v>1360</v>
      </c>
      <c r="E40" s="3" t="s">
        <v>365</v>
      </c>
      <c r="F40" s="3" t="s">
        <v>370</v>
      </c>
    </row>
    <row r="41" spans="1:6" ht="66" customHeight="1">
      <c r="A41" s="3" t="s">
        <v>1358</v>
      </c>
      <c r="B41" s="3" t="s">
        <v>376</v>
      </c>
      <c r="C41" s="3" t="s">
        <v>1359</v>
      </c>
      <c r="D41" s="3" t="s">
        <v>1360</v>
      </c>
      <c r="E41" s="3" t="s">
        <v>373</v>
      </c>
      <c r="F41" s="3" t="s">
        <v>375</v>
      </c>
    </row>
    <row r="42" spans="1:6" ht="66" customHeight="1">
      <c r="A42" s="3" t="s">
        <v>1358</v>
      </c>
      <c r="B42" s="3" t="s">
        <v>1390</v>
      </c>
      <c r="C42" s="3" t="s">
        <v>1362</v>
      </c>
      <c r="D42" s="3" t="s">
        <v>1363</v>
      </c>
      <c r="E42" s="3" t="s">
        <v>1391</v>
      </c>
      <c r="F42" s="3" t="s">
        <v>1392</v>
      </c>
    </row>
    <row r="43" spans="1:6" ht="66" customHeight="1">
      <c r="A43" s="3" t="s">
        <v>1358</v>
      </c>
      <c r="B43" s="3" t="s">
        <v>1393</v>
      </c>
      <c r="C43" s="3" t="s">
        <v>1362</v>
      </c>
      <c r="D43" s="3" t="s">
        <v>1366</v>
      </c>
      <c r="E43" s="3" t="s">
        <v>1394</v>
      </c>
      <c r="F43" s="3" t="s">
        <v>1395</v>
      </c>
    </row>
    <row r="44" spans="1:6" ht="66" customHeight="1">
      <c r="A44" s="3" t="s">
        <v>1358</v>
      </c>
      <c r="B44" s="3" t="s">
        <v>391</v>
      </c>
      <c r="C44" s="3" t="s">
        <v>1359</v>
      </c>
      <c r="D44" s="3" t="s">
        <v>1360</v>
      </c>
      <c r="E44" s="3" t="s">
        <v>388</v>
      </c>
      <c r="F44" s="3" t="s">
        <v>390</v>
      </c>
    </row>
    <row r="45" spans="1:6" ht="66" customHeight="1">
      <c r="A45" s="3" t="s">
        <v>1358</v>
      </c>
      <c r="B45" s="3" t="s">
        <v>395</v>
      </c>
      <c r="C45" s="3" t="s">
        <v>1359</v>
      </c>
      <c r="D45" s="3" t="s">
        <v>1360</v>
      </c>
      <c r="E45" s="3" t="s">
        <v>393</v>
      </c>
      <c r="F45" s="3" t="s">
        <v>390</v>
      </c>
    </row>
    <row r="46" spans="1:6" ht="66" customHeight="1">
      <c r="A46" s="3" t="s">
        <v>1358</v>
      </c>
      <c r="B46" s="3" t="s">
        <v>1396</v>
      </c>
      <c r="C46" s="3" t="s">
        <v>1362</v>
      </c>
      <c r="D46" s="3" t="s">
        <v>1366</v>
      </c>
      <c r="E46" s="3" t="s">
        <v>1397</v>
      </c>
      <c r="F46" s="3" t="s">
        <v>1398</v>
      </c>
    </row>
    <row r="47" spans="1:6" ht="66" customHeight="1">
      <c r="A47" s="3" t="s">
        <v>1358</v>
      </c>
      <c r="B47" s="3" t="s">
        <v>1399</v>
      </c>
      <c r="C47" s="3" t="s">
        <v>1362</v>
      </c>
      <c r="D47" s="3" t="s">
        <v>1366</v>
      </c>
      <c r="E47" s="3" t="s">
        <v>1400</v>
      </c>
      <c r="F47" s="3" t="s">
        <v>404</v>
      </c>
    </row>
    <row r="48" spans="1:6" ht="66" customHeight="1">
      <c r="A48" s="3" t="s">
        <v>1358</v>
      </c>
      <c r="B48" s="3" t="s">
        <v>1401</v>
      </c>
      <c r="C48" s="3" t="s">
        <v>1362</v>
      </c>
      <c r="D48" s="3" t="s">
        <v>1402</v>
      </c>
      <c r="E48" s="3" t="s">
        <v>1403</v>
      </c>
      <c r="F48" s="3" t="s">
        <v>1404</v>
      </c>
    </row>
    <row r="49" spans="1:6" ht="66" customHeight="1">
      <c r="A49" s="3" t="s">
        <v>1358</v>
      </c>
      <c r="B49" s="3" t="s">
        <v>1405</v>
      </c>
      <c r="C49" s="3" t="s">
        <v>1362</v>
      </c>
      <c r="D49" s="3" t="s">
        <v>1366</v>
      </c>
      <c r="E49" s="3" t="s">
        <v>1406</v>
      </c>
      <c r="F49" s="3" t="s">
        <v>1407</v>
      </c>
    </row>
    <row r="50" spans="1:6" ht="66" customHeight="1">
      <c r="A50" s="3" t="s">
        <v>1358</v>
      </c>
      <c r="B50" s="3" t="s">
        <v>1408</v>
      </c>
      <c r="C50" s="3" t="s">
        <v>1362</v>
      </c>
      <c r="D50" s="3" t="s">
        <v>1366</v>
      </c>
      <c r="E50" s="3" t="s">
        <v>407</v>
      </c>
      <c r="F50" s="3" t="s">
        <v>1409</v>
      </c>
    </row>
    <row r="51" spans="1:6" ht="66" customHeight="1">
      <c r="A51" s="3" t="s">
        <v>1358</v>
      </c>
      <c r="B51" s="3" t="s">
        <v>1410</v>
      </c>
      <c r="C51" s="3" t="s">
        <v>1362</v>
      </c>
      <c r="D51" s="3" t="s">
        <v>1366</v>
      </c>
      <c r="E51" s="3" t="s">
        <v>1411</v>
      </c>
      <c r="F51" s="3" t="s">
        <v>1412</v>
      </c>
    </row>
    <row r="52" spans="1:6" ht="66" customHeight="1">
      <c r="A52" s="3" t="s">
        <v>1358</v>
      </c>
      <c r="B52" s="3" t="s">
        <v>415</v>
      </c>
      <c r="C52" s="3" t="s">
        <v>1359</v>
      </c>
      <c r="D52" s="3" t="s">
        <v>1360</v>
      </c>
      <c r="E52" s="3" t="s">
        <v>412</v>
      </c>
      <c r="F52" s="3" t="s">
        <v>414</v>
      </c>
    </row>
    <row r="53" spans="1:6" ht="66" customHeight="1">
      <c r="A53" s="3" t="s">
        <v>1358</v>
      </c>
      <c r="B53" s="3" t="s">
        <v>1413</v>
      </c>
      <c r="C53" s="3" t="s">
        <v>1362</v>
      </c>
      <c r="D53" s="3" t="s">
        <v>1366</v>
      </c>
      <c r="E53" s="3" t="s">
        <v>417</v>
      </c>
      <c r="F53" s="3" t="s">
        <v>414</v>
      </c>
    </row>
    <row r="54" spans="1:6" ht="66" customHeight="1">
      <c r="A54" s="3" t="s">
        <v>1358</v>
      </c>
      <c r="B54" s="3" t="s">
        <v>1414</v>
      </c>
      <c r="C54" s="3" t="s">
        <v>1362</v>
      </c>
      <c r="D54" s="3" t="s">
        <v>1366</v>
      </c>
      <c r="E54" s="3" t="s">
        <v>1415</v>
      </c>
      <c r="F54" s="3" t="s">
        <v>414</v>
      </c>
    </row>
    <row r="55" spans="1:6" ht="66" customHeight="1">
      <c r="A55" s="3" t="s">
        <v>1358</v>
      </c>
      <c r="B55" s="3" t="s">
        <v>425</v>
      </c>
      <c r="C55" s="3" t="s">
        <v>1359</v>
      </c>
      <c r="D55" s="3" t="s">
        <v>1360</v>
      </c>
      <c r="E55" s="3" t="s">
        <v>422</v>
      </c>
      <c r="F55" s="3" t="s">
        <v>424</v>
      </c>
    </row>
    <row r="56" spans="1:6" ht="66" customHeight="1">
      <c r="A56" s="3" t="s">
        <v>1358</v>
      </c>
      <c r="B56" s="3" t="s">
        <v>1416</v>
      </c>
      <c r="C56" s="3" t="s">
        <v>1362</v>
      </c>
      <c r="D56" s="3" t="s">
        <v>1387</v>
      </c>
      <c r="E56" s="3" t="s">
        <v>1388</v>
      </c>
      <c r="F56" s="3" t="s">
        <v>1417</v>
      </c>
    </row>
    <row r="57" spans="1:6" ht="66" customHeight="1">
      <c r="A57" s="3" t="s">
        <v>1358</v>
      </c>
      <c r="B57" s="3" t="s">
        <v>1418</v>
      </c>
      <c r="C57" s="3" t="s">
        <v>1362</v>
      </c>
      <c r="D57" s="3" t="s">
        <v>1366</v>
      </c>
      <c r="E57" s="3" t="s">
        <v>1419</v>
      </c>
      <c r="F57" s="3" t="s">
        <v>1417</v>
      </c>
    </row>
    <row r="58" spans="1:6" ht="66" customHeight="1">
      <c r="A58" s="3" t="s">
        <v>1358</v>
      </c>
      <c r="B58" s="3" t="s">
        <v>1420</v>
      </c>
      <c r="C58" s="3" t="s">
        <v>1362</v>
      </c>
      <c r="D58" s="3" t="s">
        <v>1366</v>
      </c>
      <c r="E58" s="3" t="s">
        <v>1421</v>
      </c>
      <c r="F58" s="3" t="s">
        <v>1422</v>
      </c>
    </row>
    <row r="59" spans="1:6" ht="66" customHeight="1">
      <c r="A59" s="3" t="s">
        <v>1358</v>
      </c>
      <c r="B59" s="3" t="s">
        <v>430</v>
      </c>
      <c r="C59" s="3" t="s">
        <v>1359</v>
      </c>
      <c r="D59" s="3" t="s">
        <v>1360</v>
      </c>
      <c r="E59" s="3" t="s">
        <v>427</v>
      </c>
      <c r="F59" s="3" t="s">
        <v>429</v>
      </c>
    </row>
    <row r="60" spans="1:6" ht="66" customHeight="1">
      <c r="A60" s="3" t="s">
        <v>1358</v>
      </c>
      <c r="B60" s="3" t="s">
        <v>435</v>
      </c>
      <c r="C60" s="3" t="s">
        <v>1359</v>
      </c>
      <c r="D60" s="3" t="s">
        <v>1360</v>
      </c>
      <c r="E60" s="3" t="s">
        <v>432</v>
      </c>
      <c r="F60" s="3" t="s">
        <v>434</v>
      </c>
    </row>
    <row r="61" spans="1:6" ht="66" customHeight="1">
      <c r="A61" s="3" t="s">
        <v>1358</v>
      </c>
      <c r="B61" s="3" t="s">
        <v>1423</v>
      </c>
      <c r="C61" s="3" t="s">
        <v>1362</v>
      </c>
      <c r="D61" s="3" t="s">
        <v>1366</v>
      </c>
      <c r="E61" s="3" t="s">
        <v>1424</v>
      </c>
      <c r="F61" s="3" t="s">
        <v>1425</v>
      </c>
    </row>
    <row r="62" spans="1:6" ht="66" customHeight="1">
      <c r="A62" s="3" t="s">
        <v>1358</v>
      </c>
      <c r="B62" s="3" t="s">
        <v>1426</v>
      </c>
      <c r="C62" s="3" t="s">
        <v>1362</v>
      </c>
      <c r="D62" s="3" t="s">
        <v>1366</v>
      </c>
      <c r="E62" s="3" t="s">
        <v>1427</v>
      </c>
      <c r="F62" s="3" t="s">
        <v>1428</v>
      </c>
    </row>
    <row r="63" spans="1:6" ht="66" customHeight="1">
      <c r="A63" s="3" t="s">
        <v>1358</v>
      </c>
      <c r="B63" s="3" t="s">
        <v>1429</v>
      </c>
      <c r="C63" s="3" t="s">
        <v>1362</v>
      </c>
      <c r="D63" s="3" t="s">
        <v>1366</v>
      </c>
      <c r="E63" s="3" t="s">
        <v>1430</v>
      </c>
      <c r="F63" s="3" t="s">
        <v>1428</v>
      </c>
    </row>
    <row r="64" spans="1:6" ht="66" customHeight="1">
      <c r="A64" s="3" t="s">
        <v>1358</v>
      </c>
      <c r="B64" s="3" t="s">
        <v>1431</v>
      </c>
      <c r="C64" s="3" t="s">
        <v>1362</v>
      </c>
      <c r="D64" s="3" t="s">
        <v>1366</v>
      </c>
      <c r="E64" s="3" t="s">
        <v>1432</v>
      </c>
      <c r="F64" s="3" t="s">
        <v>1428</v>
      </c>
    </row>
    <row r="65" spans="1:6" ht="66" customHeight="1">
      <c r="A65" s="3" t="s">
        <v>1358</v>
      </c>
      <c r="B65" s="3" t="s">
        <v>1433</v>
      </c>
      <c r="C65" s="3" t="s">
        <v>1362</v>
      </c>
      <c r="D65" s="3" t="s">
        <v>1366</v>
      </c>
      <c r="E65" s="3" t="s">
        <v>1434</v>
      </c>
      <c r="F65" s="3" t="s">
        <v>1428</v>
      </c>
    </row>
    <row r="66" spans="1:6" ht="66" customHeight="1">
      <c r="A66" s="3" t="s">
        <v>1358</v>
      </c>
      <c r="B66" s="3" t="s">
        <v>1435</v>
      </c>
      <c r="C66" s="3" t="s">
        <v>1362</v>
      </c>
      <c r="D66" s="3" t="s">
        <v>1436</v>
      </c>
      <c r="E66" s="3" t="s">
        <v>1437</v>
      </c>
      <c r="F66" s="3" t="s">
        <v>1438</v>
      </c>
    </row>
    <row r="67" spans="1:6" ht="66" customHeight="1">
      <c r="A67" s="3" t="s">
        <v>1358</v>
      </c>
      <c r="B67" s="3" t="s">
        <v>1439</v>
      </c>
      <c r="C67" s="3" t="s">
        <v>1362</v>
      </c>
      <c r="D67" s="3" t="s">
        <v>1366</v>
      </c>
      <c r="E67" s="3" t="s">
        <v>1440</v>
      </c>
      <c r="F67" s="3" t="s">
        <v>1441</v>
      </c>
    </row>
    <row r="68" spans="1:6" ht="66" customHeight="1">
      <c r="A68" s="3" t="s">
        <v>1358</v>
      </c>
      <c r="B68" s="3" t="s">
        <v>453</v>
      </c>
      <c r="C68" s="3" t="s">
        <v>1359</v>
      </c>
      <c r="D68" s="3" t="s">
        <v>1360</v>
      </c>
      <c r="E68" s="3" t="s">
        <v>450</v>
      </c>
      <c r="F68" s="3" t="s">
        <v>452</v>
      </c>
    </row>
    <row r="69" spans="1:6" ht="66" customHeight="1">
      <c r="A69" s="3" t="s">
        <v>1358</v>
      </c>
      <c r="B69" s="3" t="s">
        <v>458</v>
      </c>
      <c r="C69" s="3" t="s">
        <v>1359</v>
      </c>
      <c r="D69" s="3" t="s">
        <v>1360</v>
      </c>
      <c r="E69" s="3" t="s">
        <v>455</v>
      </c>
      <c r="F69" s="3" t="s">
        <v>457</v>
      </c>
    </row>
    <row r="70" spans="1:6" ht="66" customHeight="1">
      <c r="A70" s="3" t="s">
        <v>1358</v>
      </c>
      <c r="B70" s="3" t="s">
        <v>463</v>
      </c>
      <c r="C70" s="3" t="s">
        <v>1359</v>
      </c>
      <c r="D70" s="3" t="s">
        <v>1360</v>
      </c>
      <c r="E70" s="3" t="s">
        <v>460</v>
      </c>
      <c r="F70" s="3" t="s">
        <v>462</v>
      </c>
    </row>
    <row r="71" spans="1:6" ht="66" customHeight="1">
      <c r="A71" s="3" t="s">
        <v>1358</v>
      </c>
      <c r="B71" s="3" t="s">
        <v>477</v>
      </c>
      <c r="C71" s="3" t="s">
        <v>1359</v>
      </c>
      <c r="D71" s="3" t="s">
        <v>1360</v>
      </c>
      <c r="E71" s="3" t="s">
        <v>474</v>
      </c>
      <c r="F71" s="3" t="s">
        <v>476</v>
      </c>
    </row>
    <row r="72" spans="1:6" ht="66" customHeight="1">
      <c r="A72" s="3" t="s">
        <v>1358</v>
      </c>
      <c r="B72" s="3" t="s">
        <v>1442</v>
      </c>
      <c r="C72" s="3" t="s">
        <v>1362</v>
      </c>
      <c r="D72" s="3" t="s">
        <v>1402</v>
      </c>
      <c r="E72" s="3" t="s">
        <v>1443</v>
      </c>
      <c r="F72" s="3" t="s">
        <v>497</v>
      </c>
    </row>
    <row r="73" spans="1:6" ht="66" customHeight="1">
      <c r="A73" s="3" t="s">
        <v>1358</v>
      </c>
      <c r="B73" s="3" t="s">
        <v>509</v>
      </c>
      <c r="C73" s="3" t="s">
        <v>1359</v>
      </c>
      <c r="D73" s="3" t="s">
        <v>1360</v>
      </c>
      <c r="E73" s="3" t="s">
        <v>505</v>
      </c>
      <c r="F73" s="3" t="s">
        <v>507</v>
      </c>
    </row>
    <row r="74" spans="1:6" ht="66" customHeight="1">
      <c r="A74" s="3" t="s">
        <v>1358</v>
      </c>
      <c r="B74" s="3" t="s">
        <v>513</v>
      </c>
      <c r="C74" s="3" t="s">
        <v>1359</v>
      </c>
      <c r="D74" s="3" t="s">
        <v>1360</v>
      </c>
      <c r="E74" s="3" t="s">
        <v>511</v>
      </c>
      <c r="F74" s="3" t="s">
        <v>507</v>
      </c>
    </row>
    <row r="75" spans="1:6" ht="66" customHeight="1">
      <c r="A75" s="3" t="s">
        <v>1358</v>
      </c>
      <c r="B75" s="3" t="s">
        <v>518</v>
      </c>
      <c r="C75" s="3" t="s">
        <v>1359</v>
      </c>
      <c r="D75" s="3" t="s">
        <v>1360</v>
      </c>
      <c r="E75" s="3" t="s">
        <v>515</v>
      </c>
      <c r="F75" s="3" t="s">
        <v>517</v>
      </c>
    </row>
    <row r="76" spans="1:6" ht="66" customHeight="1">
      <c r="A76" s="3" t="s">
        <v>1358</v>
      </c>
      <c r="B76" s="3" t="s">
        <v>527</v>
      </c>
      <c r="C76" s="3" t="s">
        <v>1359</v>
      </c>
      <c r="D76" s="3" t="s">
        <v>1360</v>
      </c>
      <c r="E76" s="3" t="s">
        <v>524</v>
      </c>
      <c r="F76" s="3" t="s">
        <v>526</v>
      </c>
    </row>
    <row r="77" spans="1:6" ht="66" customHeight="1">
      <c r="A77" s="3" t="s">
        <v>1358</v>
      </c>
      <c r="B77" s="3" t="s">
        <v>1444</v>
      </c>
      <c r="C77" s="3" t="s">
        <v>1362</v>
      </c>
      <c r="D77" s="3" t="s">
        <v>1366</v>
      </c>
      <c r="E77" s="3" t="s">
        <v>1445</v>
      </c>
      <c r="F77" s="3" t="s">
        <v>1446</v>
      </c>
    </row>
    <row r="78" spans="1:6" ht="66" customHeight="1">
      <c r="A78" s="3" t="s">
        <v>1358</v>
      </c>
      <c r="B78" s="3" t="s">
        <v>532</v>
      </c>
      <c r="C78" s="3" t="s">
        <v>1359</v>
      </c>
      <c r="D78" s="3" t="s">
        <v>1360</v>
      </c>
      <c r="E78" s="3" t="s">
        <v>529</v>
      </c>
      <c r="F78" s="3" t="s">
        <v>531</v>
      </c>
    </row>
    <row r="79" spans="1:6" ht="66" customHeight="1">
      <c r="A79" s="3" t="s">
        <v>1358</v>
      </c>
      <c r="B79" s="3" t="s">
        <v>536</v>
      </c>
      <c r="C79" s="3" t="s">
        <v>1359</v>
      </c>
      <c r="D79" s="3" t="s">
        <v>1360</v>
      </c>
      <c r="E79" s="3" t="s">
        <v>534</v>
      </c>
      <c r="F79" s="3" t="s">
        <v>531</v>
      </c>
    </row>
    <row r="80" spans="1:6" ht="66" customHeight="1">
      <c r="A80" s="3" t="s">
        <v>1358</v>
      </c>
      <c r="B80" s="3" t="s">
        <v>1447</v>
      </c>
      <c r="C80" s="3" t="s">
        <v>1362</v>
      </c>
      <c r="D80" s="3" t="s">
        <v>1366</v>
      </c>
      <c r="E80" s="3" t="s">
        <v>1448</v>
      </c>
      <c r="F80" s="3" t="s">
        <v>540</v>
      </c>
    </row>
    <row r="81" spans="1:6" ht="66" customHeight="1">
      <c r="A81" s="3" t="s">
        <v>1358</v>
      </c>
      <c r="B81" s="3" t="s">
        <v>546</v>
      </c>
      <c r="C81" s="3" t="s">
        <v>1359</v>
      </c>
      <c r="D81" s="3" t="s">
        <v>1360</v>
      </c>
      <c r="E81" s="3" t="s">
        <v>543</v>
      </c>
      <c r="F81" s="3" t="s">
        <v>545</v>
      </c>
    </row>
    <row r="82" spans="1:6" ht="66" customHeight="1">
      <c r="A82" s="3" t="s">
        <v>1358</v>
      </c>
      <c r="B82" s="3" t="s">
        <v>550</v>
      </c>
      <c r="C82" s="3" t="s">
        <v>1359</v>
      </c>
      <c r="D82" s="3" t="s">
        <v>1360</v>
      </c>
      <c r="E82" s="3" t="s">
        <v>548</v>
      </c>
      <c r="F82" s="3" t="s">
        <v>545</v>
      </c>
    </row>
    <row r="83" spans="1:6" ht="66" customHeight="1">
      <c r="A83" s="3" t="s">
        <v>1358</v>
      </c>
      <c r="B83" s="3" t="s">
        <v>555</v>
      </c>
      <c r="C83" s="3" t="s">
        <v>1359</v>
      </c>
      <c r="D83" s="3" t="s">
        <v>1360</v>
      </c>
      <c r="E83" s="3" t="s">
        <v>552</v>
      </c>
      <c r="F83" s="3" t="s">
        <v>554</v>
      </c>
    </row>
    <row r="84" spans="1:6" ht="66" customHeight="1">
      <c r="A84" s="3" t="s">
        <v>1358</v>
      </c>
      <c r="B84" s="3" t="s">
        <v>560</v>
      </c>
      <c r="C84" s="3" t="s">
        <v>1359</v>
      </c>
      <c r="D84" s="3" t="s">
        <v>1360</v>
      </c>
      <c r="E84" s="3" t="s">
        <v>557</v>
      </c>
      <c r="F84" s="3" t="s">
        <v>559</v>
      </c>
    </row>
    <row r="85" spans="1:6" ht="66" customHeight="1">
      <c r="A85" s="3" t="s">
        <v>1358</v>
      </c>
      <c r="B85" s="3" t="s">
        <v>1449</v>
      </c>
      <c r="C85" s="3" t="s">
        <v>1362</v>
      </c>
      <c r="D85" s="3" t="s">
        <v>1366</v>
      </c>
      <c r="E85" s="3" t="s">
        <v>1450</v>
      </c>
      <c r="F85" s="3" t="s">
        <v>564</v>
      </c>
    </row>
    <row r="86" spans="1:6" ht="66" customHeight="1">
      <c r="A86" s="3" t="s">
        <v>1358</v>
      </c>
      <c r="B86" s="3" t="s">
        <v>1451</v>
      </c>
      <c r="C86" s="3" t="s">
        <v>1362</v>
      </c>
      <c r="D86" s="3" t="s">
        <v>1366</v>
      </c>
      <c r="E86" s="3" t="s">
        <v>1452</v>
      </c>
      <c r="F86" s="3" t="s">
        <v>1453</v>
      </c>
    </row>
    <row r="87" spans="1:6" ht="66" customHeight="1">
      <c r="A87" s="3" t="s">
        <v>1358</v>
      </c>
      <c r="B87" s="3" t="s">
        <v>570</v>
      </c>
      <c r="C87" s="3" t="s">
        <v>1359</v>
      </c>
      <c r="D87" s="3" t="s">
        <v>1360</v>
      </c>
      <c r="E87" s="3" t="s">
        <v>567</v>
      </c>
      <c r="F87" s="3" t="s">
        <v>569</v>
      </c>
    </row>
    <row r="88" spans="1:6" ht="66" customHeight="1">
      <c r="A88" s="3" t="s">
        <v>1358</v>
      </c>
      <c r="B88" s="3" t="s">
        <v>575</v>
      </c>
      <c r="C88" s="3" t="s">
        <v>1359</v>
      </c>
      <c r="D88" s="3" t="s">
        <v>1360</v>
      </c>
      <c r="E88" s="3" t="s">
        <v>572</v>
      </c>
      <c r="F88" s="3" t="s">
        <v>574</v>
      </c>
    </row>
    <row r="89" spans="1:6" ht="66" customHeight="1">
      <c r="A89" s="3" t="s">
        <v>1358</v>
      </c>
      <c r="B89" s="3" t="s">
        <v>585</v>
      </c>
      <c r="C89" s="3" t="s">
        <v>1359</v>
      </c>
      <c r="D89" s="3" t="s">
        <v>1360</v>
      </c>
      <c r="E89" s="3" t="s">
        <v>582</v>
      </c>
      <c r="F89" s="3" t="s">
        <v>584</v>
      </c>
    </row>
    <row r="90" spans="1:6" ht="66" customHeight="1">
      <c r="A90" s="3" t="s">
        <v>1358</v>
      </c>
      <c r="B90" s="3" t="s">
        <v>1454</v>
      </c>
      <c r="C90" s="3" t="s">
        <v>1362</v>
      </c>
      <c r="D90" s="3" t="s">
        <v>1366</v>
      </c>
      <c r="E90" s="3" t="s">
        <v>1455</v>
      </c>
      <c r="F90" s="3" t="s">
        <v>1456</v>
      </c>
    </row>
    <row r="91" spans="1:6" ht="66" customHeight="1">
      <c r="A91" s="3" t="s">
        <v>1358</v>
      </c>
      <c r="B91" s="3" t="s">
        <v>1457</v>
      </c>
      <c r="C91" s="3" t="s">
        <v>1362</v>
      </c>
      <c r="D91" s="3" t="s">
        <v>1366</v>
      </c>
      <c r="E91" s="3" t="s">
        <v>1458</v>
      </c>
      <c r="F91" s="3" t="s">
        <v>1459</v>
      </c>
    </row>
    <row r="92" spans="1:6" ht="66" customHeight="1">
      <c r="A92" s="3" t="s">
        <v>1358</v>
      </c>
      <c r="B92" s="3" t="s">
        <v>590</v>
      </c>
      <c r="C92" s="3" t="s">
        <v>1359</v>
      </c>
      <c r="D92" s="3" t="s">
        <v>1360</v>
      </c>
      <c r="E92" s="3" t="s">
        <v>587</v>
      </c>
      <c r="F92" s="3" t="s">
        <v>589</v>
      </c>
    </row>
    <row r="93" spans="1:6" ht="66" customHeight="1">
      <c r="A93" s="3" t="s">
        <v>1358</v>
      </c>
      <c r="B93" s="3" t="s">
        <v>595</v>
      </c>
      <c r="C93" s="3" t="s">
        <v>1359</v>
      </c>
      <c r="D93" s="3" t="s">
        <v>1360</v>
      </c>
      <c r="E93" s="3" t="s">
        <v>592</v>
      </c>
      <c r="F93" s="3" t="s">
        <v>594</v>
      </c>
    </row>
    <row r="94" spans="1:6" ht="66" customHeight="1">
      <c r="A94" s="3" t="s">
        <v>1358</v>
      </c>
      <c r="B94" s="3" t="s">
        <v>1460</v>
      </c>
      <c r="C94" s="3" t="s">
        <v>1362</v>
      </c>
      <c r="D94" s="3" t="s">
        <v>1366</v>
      </c>
      <c r="E94" s="3" t="s">
        <v>1461</v>
      </c>
      <c r="F94" s="3" t="s">
        <v>594</v>
      </c>
    </row>
    <row r="95" spans="1:6" ht="66" customHeight="1">
      <c r="A95" s="3" t="s">
        <v>1358</v>
      </c>
      <c r="B95" s="3" t="s">
        <v>1462</v>
      </c>
      <c r="C95" s="3" t="s">
        <v>1362</v>
      </c>
      <c r="D95" s="3" t="s">
        <v>1363</v>
      </c>
      <c r="E95" s="3" t="s">
        <v>1463</v>
      </c>
      <c r="F95" s="3" t="s">
        <v>594</v>
      </c>
    </row>
    <row r="96" spans="1:6" ht="66" customHeight="1">
      <c r="A96" s="3" t="s">
        <v>1358</v>
      </c>
      <c r="B96" s="3" t="s">
        <v>1464</v>
      </c>
      <c r="C96" s="3" t="s">
        <v>1362</v>
      </c>
      <c r="D96" s="3" t="s">
        <v>1366</v>
      </c>
      <c r="E96" s="3" t="s">
        <v>1465</v>
      </c>
      <c r="F96" s="3" t="s">
        <v>594</v>
      </c>
    </row>
    <row r="97" spans="1:6" ht="66" customHeight="1">
      <c r="A97" s="3" t="s">
        <v>1358</v>
      </c>
      <c r="B97" s="3" t="s">
        <v>600</v>
      </c>
      <c r="C97" s="3" t="s">
        <v>1359</v>
      </c>
      <c r="D97" s="3" t="s">
        <v>1360</v>
      </c>
      <c r="E97" s="3" t="s">
        <v>597</v>
      </c>
      <c r="F97" s="3" t="s">
        <v>599</v>
      </c>
    </row>
    <row r="98" spans="1:6" ht="66" customHeight="1">
      <c r="A98" s="3" t="s">
        <v>1358</v>
      </c>
      <c r="B98" s="3" t="s">
        <v>1466</v>
      </c>
      <c r="C98" s="3" t="s">
        <v>1362</v>
      </c>
      <c r="D98" s="3" t="s">
        <v>1366</v>
      </c>
      <c r="E98" s="3" t="s">
        <v>1467</v>
      </c>
      <c r="F98" s="3" t="s">
        <v>599</v>
      </c>
    </row>
    <row r="99" spans="1:6" ht="66" customHeight="1">
      <c r="A99" s="3" t="s">
        <v>1358</v>
      </c>
      <c r="B99" s="3" t="s">
        <v>1468</v>
      </c>
      <c r="C99" s="3" t="s">
        <v>1362</v>
      </c>
      <c r="D99" s="3" t="s">
        <v>1366</v>
      </c>
      <c r="E99" s="3" t="s">
        <v>1469</v>
      </c>
      <c r="F99" s="3" t="s">
        <v>1470</v>
      </c>
    </row>
    <row r="100" spans="1:6" ht="66" customHeight="1">
      <c r="A100" s="3" t="s">
        <v>1358</v>
      </c>
      <c r="B100" s="3" t="s">
        <v>1471</v>
      </c>
      <c r="C100" s="3" t="s">
        <v>1362</v>
      </c>
      <c r="D100" s="3" t="s">
        <v>1366</v>
      </c>
      <c r="E100" s="3" t="s">
        <v>1472</v>
      </c>
      <c r="F100" s="3" t="s">
        <v>1470</v>
      </c>
    </row>
    <row r="101" spans="1:6" ht="66" customHeight="1">
      <c r="A101" s="3" t="s">
        <v>1358</v>
      </c>
      <c r="B101" s="3" t="s">
        <v>1473</v>
      </c>
      <c r="C101" s="3" t="s">
        <v>1362</v>
      </c>
      <c r="D101" s="3" t="s">
        <v>1366</v>
      </c>
      <c r="E101" s="3" t="s">
        <v>1474</v>
      </c>
      <c r="F101" s="3" t="s">
        <v>1475</v>
      </c>
    </row>
    <row r="102" spans="1:6" ht="66" customHeight="1">
      <c r="A102" s="3" t="s">
        <v>1358</v>
      </c>
      <c r="B102" s="3" t="s">
        <v>1476</v>
      </c>
      <c r="C102" s="3" t="s">
        <v>1362</v>
      </c>
      <c r="D102" s="3" t="s">
        <v>1366</v>
      </c>
      <c r="E102" s="3" t="s">
        <v>1477</v>
      </c>
      <c r="F102" s="3" t="s">
        <v>1478</v>
      </c>
    </row>
    <row r="103" spans="1:6" ht="66" customHeight="1">
      <c r="A103" s="3" t="s">
        <v>1358</v>
      </c>
      <c r="B103" s="3" t="s">
        <v>610</v>
      </c>
      <c r="C103" s="3" t="s">
        <v>1359</v>
      </c>
      <c r="D103" s="3" t="s">
        <v>1360</v>
      </c>
      <c r="E103" s="3" t="s">
        <v>607</v>
      </c>
      <c r="F103" s="3" t="s">
        <v>609</v>
      </c>
    </row>
    <row r="104" spans="1:6" ht="66" customHeight="1">
      <c r="A104" s="3" t="s">
        <v>1358</v>
      </c>
      <c r="B104" s="3" t="s">
        <v>615</v>
      </c>
      <c r="C104" s="3" t="s">
        <v>1359</v>
      </c>
      <c r="D104" s="3" t="s">
        <v>1360</v>
      </c>
      <c r="E104" s="3" t="s">
        <v>612</v>
      </c>
      <c r="F104" s="3" t="s">
        <v>614</v>
      </c>
    </row>
    <row r="105" spans="1:6" ht="66" customHeight="1">
      <c r="A105" s="3" t="s">
        <v>1358</v>
      </c>
      <c r="B105" s="3" t="s">
        <v>623</v>
      </c>
      <c r="C105" s="3" t="s">
        <v>1359</v>
      </c>
      <c r="D105" s="3" t="s">
        <v>1360</v>
      </c>
      <c r="E105" s="3" t="s">
        <v>617</v>
      </c>
      <c r="F105" s="3" t="s">
        <v>622</v>
      </c>
    </row>
    <row r="106" spans="1:6" ht="66" customHeight="1">
      <c r="A106" s="3" t="s">
        <v>1358</v>
      </c>
      <c r="B106" s="3" t="s">
        <v>1479</v>
      </c>
      <c r="C106" s="3" t="s">
        <v>1362</v>
      </c>
      <c r="D106" s="3" t="s">
        <v>1366</v>
      </c>
      <c r="E106" s="3" t="s">
        <v>1480</v>
      </c>
      <c r="F106" s="3" t="s">
        <v>1481</v>
      </c>
    </row>
    <row r="107" spans="1:6" ht="66" customHeight="1">
      <c r="A107" s="3" t="s">
        <v>1358</v>
      </c>
      <c r="B107" s="3" t="s">
        <v>1482</v>
      </c>
      <c r="C107" s="3" t="s">
        <v>1362</v>
      </c>
      <c r="D107" s="3" t="s">
        <v>1402</v>
      </c>
      <c r="E107" s="3" t="s">
        <v>1483</v>
      </c>
      <c r="F107" s="3" t="s">
        <v>1484</v>
      </c>
    </row>
    <row r="108" spans="1:6" ht="66" customHeight="1">
      <c r="A108" s="3" t="s">
        <v>1358</v>
      </c>
      <c r="B108" s="3" t="s">
        <v>658</v>
      </c>
      <c r="C108" s="3" t="s">
        <v>1359</v>
      </c>
      <c r="D108" s="3" t="s">
        <v>1360</v>
      </c>
      <c r="E108" s="3" t="s">
        <v>655</v>
      </c>
      <c r="F108" s="3" t="s">
        <v>657</v>
      </c>
    </row>
    <row r="109" spans="1:6" ht="66" customHeight="1">
      <c r="A109" s="3" t="s">
        <v>1358</v>
      </c>
      <c r="B109" s="3" t="s">
        <v>1485</v>
      </c>
      <c r="C109" s="3" t="s">
        <v>1362</v>
      </c>
      <c r="D109" s="3" t="s">
        <v>1366</v>
      </c>
      <c r="E109" s="3" t="s">
        <v>1486</v>
      </c>
      <c r="F109" s="3" t="s">
        <v>1487</v>
      </c>
    </row>
    <row r="110" spans="1:6" ht="66" customHeight="1">
      <c r="A110" s="3" t="s">
        <v>1358</v>
      </c>
      <c r="B110" s="3" t="s">
        <v>677</v>
      </c>
      <c r="C110" s="3" t="s">
        <v>1359</v>
      </c>
      <c r="D110" s="3" t="s">
        <v>1360</v>
      </c>
      <c r="E110" s="3" t="s">
        <v>674</v>
      </c>
      <c r="F110" s="3" t="s">
        <v>676</v>
      </c>
    </row>
    <row r="111" spans="1:6" ht="66" customHeight="1">
      <c r="A111" s="3" t="s">
        <v>1358</v>
      </c>
      <c r="B111" s="3" t="s">
        <v>1488</v>
      </c>
      <c r="C111" s="3" t="s">
        <v>1362</v>
      </c>
      <c r="D111" s="3" t="s">
        <v>1366</v>
      </c>
      <c r="E111" s="3" t="s">
        <v>1489</v>
      </c>
      <c r="F111" s="3" t="s">
        <v>1490</v>
      </c>
    </row>
    <row r="112" spans="1:6" ht="66" customHeight="1">
      <c r="A112" s="3" t="s">
        <v>1358</v>
      </c>
      <c r="B112" s="3" t="s">
        <v>682</v>
      </c>
      <c r="C112" s="3" t="s">
        <v>1359</v>
      </c>
      <c r="D112" s="3" t="s">
        <v>1360</v>
      </c>
      <c r="E112" s="3" t="s">
        <v>679</v>
      </c>
      <c r="F112" s="3" t="s">
        <v>681</v>
      </c>
    </row>
    <row r="113" spans="1:6" ht="66" customHeight="1">
      <c r="A113" s="3" t="s">
        <v>1358</v>
      </c>
      <c r="B113" s="3" t="s">
        <v>1491</v>
      </c>
      <c r="C113" s="3" t="s">
        <v>1362</v>
      </c>
      <c r="D113" s="3" t="s">
        <v>1366</v>
      </c>
      <c r="E113" s="3" t="s">
        <v>1492</v>
      </c>
      <c r="F113" s="3" t="s">
        <v>686</v>
      </c>
    </row>
    <row r="114" spans="1:6" ht="66" customHeight="1">
      <c r="A114" s="3" t="s">
        <v>1358</v>
      </c>
      <c r="B114" s="3" t="s">
        <v>1493</v>
      </c>
      <c r="C114" s="3" t="s">
        <v>1362</v>
      </c>
      <c r="D114" s="3" t="s">
        <v>1366</v>
      </c>
      <c r="E114" s="3" t="s">
        <v>1494</v>
      </c>
      <c r="F114" s="3" t="s">
        <v>1495</v>
      </c>
    </row>
    <row r="115" spans="1:6" ht="66" customHeight="1">
      <c r="A115" s="3" t="s">
        <v>1358</v>
      </c>
      <c r="B115" s="3" t="s">
        <v>692</v>
      </c>
      <c r="C115" s="3" t="s">
        <v>1359</v>
      </c>
      <c r="D115" s="3" t="s">
        <v>1360</v>
      </c>
      <c r="E115" s="3" t="s">
        <v>689</v>
      </c>
      <c r="F115" s="3" t="s">
        <v>691</v>
      </c>
    </row>
    <row r="116" spans="1:6" ht="66" customHeight="1">
      <c r="A116" s="3" t="s">
        <v>1358</v>
      </c>
      <c r="B116" s="3" t="s">
        <v>697</v>
      </c>
      <c r="C116" s="3" t="s">
        <v>1359</v>
      </c>
      <c r="D116" s="3" t="s">
        <v>1360</v>
      </c>
      <c r="E116" s="3" t="s">
        <v>694</v>
      </c>
      <c r="F116" s="3" t="s">
        <v>696</v>
      </c>
    </row>
    <row r="117" spans="1:6" ht="66" customHeight="1">
      <c r="A117" s="3" t="s">
        <v>1358</v>
      </c>
      <c r="B117" s="3" t="s">
        <v>1496</v>
      </c>
      <c r="C117" s="3" t="s">
        <v>1362</v>
      </c>
      <c r="D117" s="3" t="s">
        <v>1366</v>
      </c>
      <c r="E117" s="3" t="s">
        <v>1497</v>
      </c>
      <c r="F117" s="3" t="s">
        <v>1498</v>
      </c>
    </row>
    <row r="118" spans="1:6" ht="66" customHeight="1">
      <c r="A118" s="3" t="s">
        <v>1358</v>
      </c>
      <c r="B118" s="3" t="s">
        <v>1499</v>
      </c>
      <c r="C118" s="3" t="s">
        <v>1362</v>
      </c>
      <c r="D118" s="3" t="s">
        <v>1366</v>
      </c>
      <c r="E118" s="3" t="s">
        <v>1500</v>
      </c>
      <c r="F118" s="3" t="s">
        <v>1501</v>
      </c>
    </row>
    <row r="119" spans="1:6" ht="66" customHeight="1">
      <c r="A119" s="3" t="s">
        <v>1358</v>
      </c>
      <c r="B119" s="3" t="s">
        <v>1502</v>
      </c>
      <c r="C119" s="3" t="s">
        <v>1362</v>
      </c>
      <c r="D119" s="3" t="s">
        <v>1436</v>
      </c>
      <c r="E119" s="3" t="s">
        <v>1503</v>
      </c>
      <c r="F119" s="3" t="s">
        <v>1501</v>
      </c>
    </row>
    <row r="120" spans="1:6" ht="66" customHeight="1">
      <c r="A120" s="3" t="s">
        <v>1358</v>
      </c>
      <c r="B120" s="3" t="s">
        <v>1504</v>
      </c>
      <c r="C120" s="3" t="s">
        <v>1362</v>
      </c>
      <c r="D120" s="3" t="s">
        <v>1366</v>
      </c>
      <c r="E120" s="3" t="s">
        <v>1505</v>
      </c>
      <c r="F120" s="3" t="s">
        <v>1506</v>
      </c>
    </row>
    <row r="121" spans="1:6" ht="66" customHeight="1">
      <c r="A121" s="3" t="s">
        <v>1358</v>
      </c>
      <c r="B121" s="3" t="s">
        <v>1507</v>
      </c>
      <c r="C121" s="3" t="s">
        <v>1362</v>
      </c>
      <c r="D121" s="3" t="s">
        <v>1366</v>
      </c>
      <c r="E121" s="3" t="s">
        <v>1508</v>
      </c>
      <c r="F121" s="3" t="s">
        <v>1506</v>
      </c>
    </row>
    <row r="122" spans="1:6" ht="66" customHeight="1">
      <c r="A122" s="3" t="s">
        <v>1358</v>
      </c>
      <c r="B122" s="3" t="s">
        <v>1509</v>
      </c>
      <c r="C122" s="3" t="s">
        <v>1362</v>
      </c>
      <c r="D122" s="3" t="s">
        <v>1366</v>
      </c>
      <c r="E122" s="3" t="s">
        <v>1510</v>
      </c>
      <c r="F122" s="3" t="s">
        <v>1506</v>
      </c>
    </row>
    <row r="123" spans="1:6" ht="66" customHeight="1">
      <c r="A123" s="3" t="s">
        <v>1358</v>
      </c>
      <c r="B123" s="3" t="s">
        <v>1511</v>
      </c>
      <c r="C123" s="3" t="s">
        <v>1362</v>
      </c>
      <c r="D123" s="3" t="s">
        <v>1366</v>
      </c>
      <c r="E123" s="3" t="s">
        <v>1512</v>
      </c>
      <c r="F123" s="3" t="s">
        <v>1506</v>
      </c>
    </row>
    <row r="124" spans="1:6" ht="66" customHeight="1">
      <c r="A124" s="3" t="s">
        <v>1358</v>
      </c>
      <c r="B124" s="3" t="s">
        <v>1513</v>
      </c>
      <c r="C124" s="3" t="s">
        <v>1362</v>
      </c>
      <c r="D124" s="3" t="s">
        <v>1366</v>
      </c>
      <c r="E124" s="3" t="s">
        <v>1514</v>
      </c>
      <c r="F124" s="3" t="s">
        <v>1515</v>
      </c>
    </row>
    <row r="125" spans="1:6" ht="66" customHeight="1">
      <c r="A125" s="3" t="s">
        <v>1358</v>
      </c>
      <c r="B125" s="3" t="s">
        <v>1516</v>
      </c>
      <c r="C125" s="3" t="s">
        <v>1362</v>
      </c>
      <c r="D125" s="3" t="s">
        <v>1366</v>
      </c>
      <c r="E125" s="3" t="s">
        <v>1517</v>
      </c>
      <c r="F125" s="3" t="s">
        <v>1518</v>
      </c>
    </row>
    <row r="126" spans="1:6" ht="66" customHeight="1">
      <c r="A126" s="3" t="s">
        <v>1358</v>
      </c>
      <c r="B126" s="3" t="s">
        <v>1519</v>
      </c>
      <c r="C126" s="3" t="s">
        <v>1362</v>
      </c>
      <c r="D126" s="3" t="s">
        <v>1366</v>
      </c>
      <c r="E126" s="3" t="s">
        <v>1520</v>
      </c>
      <c r="F126" s="3" t="s">
        <v>706</v>
      </c>
    </row>
    <row r="127" spans="1:6" ht="66" customHeight="1">
      <c r="A127" s="3" t="s">
        <v>1358</v>
      </c>
      <c r="B127" s="3" t="s">
        <v>717</v>
      </c>
      <c r="C127" s="3" t="s">
        <v>1359</v>
      </c>
      <c r="D127" s="3" t="s">
        <v>1360</v>
      </c>
      <c r="E127" s="3" t="s">
        <v>714</v>
      </c>
      <c r="F127" s="3" t="s">
        <v>716</v>
      </c>
    </row>
    <row r="128" spans="1:6" ht="66" customHeight="1">
      <c r="A128" s="3" t="s">
        <v>1358</v>
      </c>
      <c r="B128" s="3" t="s">
        <v>1521</v>
      </c>
      <c r="C128" s="3" t="s">
        <v>1362</v>
      </c>
      <c r="D128" s="3" t="s">
        <v>1366</v>
      </c>
      <c r="E128" s="3" t="s">
        <v>1522</v>
      </c>
      <c r="F128" s="3" t="s">
        <v>721</v>
      </c>
    </row>
    <row r="129" spans="1:6" ht="66" customHeight="1">
      <c r="A129" s="3" t="s">
        <v>1358</v>
      </c>
      <c r="B129" s="3" t="s">
        <v>722</v>
      </c>
      <c r="C129" s="3" t="s">
        <v>1359</v>
      </c>
      <c r="D129" s="3" t="s">
        <v>1360</v>
      </c>
      <c r="E129" s="3" t="s">
        <v>719</v>
      </c>
      <c r="F129" s="3" t="s">
        <v>721</v>
      </c>
    </row>
    <row r="130" spans="1:6" ht="66" customHeight="1">
      <c r="A130" s="3" t="s">
        <v>1358</v>
      </c>
      <c r="B130" s="3" t="s">
        <v>1523</v>
      </c>
      <c r="C130" s="3" t="s">
        <v>1362</v>
      </c>
      <c r="D130" s="3" t="s">
        <v>1366</v>
      </c>
      <c r="E130" s="3" t="s">
        <v>1524</v>
      </c>
      <c r="F130" s="3" t="s">
        <v>1525</v>
      </c>
    </row>
    <row r="131" spans="1:6" ht="66" customHeight="1">
      <c r="A131" s="3" t="s">
        <v>1358</v>
      </c>
      <c r="B131" s="3" t="s">
        <v>1526</v>
      </c>
      <c r="C131" s="3" t="s">
        <v>1362</v>
      </c>
      <c r="D131" s="3" t="s">
        <v>1366</v>
      </c>
      <c r="E131" s="3" t="s">
        <v>1527</v>
      </c>
      <c r="F131" s="3" t="s">
        <v>1528</v>
      </c>
    </row>
    <row r="132" spans="1:6" ht="66" customHeight="1">
      <c r="A132" s="3" t="s">
        <v>1358</v>
      </c>
      <c r="B132" s="3" t="s">
        <v>1529</v>
      </c>
      <c r="C132" s="3" t="s">
        <v>1362</v>
      </c>
      <c r="D132" s="3" t="s">
        <v>1366</v>
      </c>
      <c r="E132" s="3" t="s">
        <v>1530</v>
      </c>
      <c r="F132" s="3" t="s">
        <v>1528</v>
      </c>
    </row>
    <row r="133" spans="1:6" ht="66" customHeight="1">
      <c r="A133" s="3" t="s">
        <v>1358</v>
      </c>
      <c r="B133" s="3" t="s">
        <v>1531</v>
      </c>
      <c r="C133" s="3" t="s">
        <v>1362</v>
      </c>
      <c r="D133" s="3" t="s">
        <v>1366</v>
      </c>
      <c r="E133" s="3" t="s">
        <v>1532</v>
      </c>
      <c r="F133" s="3" t="s">
        <v>1528</v>
      </c>
    </row>
    <row r="134" spans="1:6" ht="66" customHeight="1">
      <c r="A134" s="3" t="s">
        <v>1358</v>
      </c>
      <c r="B134" s="3" t="s">
        <v>1533</v>
      </c>
      <c r="C134" s="3" t="s">
        <v>1362</v>
      </c>
      <c r="D134" s="3" t="s">
        <v>1366</v>
      </c>
      <c r="E134" s="3" t="s">
        <v>1534</v>
      </c>
      <c r="F134" s="3" t="s">
        <v>1535</v>
      </c>
    </row>
    <row r="135" spans="1:6" ht="66" customHeight="1">
      <c r="A135" s="3" t="s">
        <v>1358</v>
      </c>
      <c r="B135" s="3" t="s">
        <v>1536</v>
      </c>
      <c r="C135" s="3" t="s">
        <v>1362</v>
      </c>
      <c r="D135" s="3" t="s">
        <v>1366</v>
      </c>
      <c r="E135" s="3" t="s">
        <v>1537</v>
      </c>
      <c r="F135" s="3" t="s">
        <v>1535</v>
      </c>
    </row>
    <row r="136" spans="1:6" ht="66" customHeight="1">
      <c r="A136" s="3" t="s">
        <v>1358</v>
      </c>
      <c r="B136" s="3" t="s">
        <v>1538</v>
      </c>
      <c r="C136" s="3" t="s">
        <v>1362</v>
      </c>
      <c r="D136" s="3" t="s">
        <v>1366</v>
      </c>
      <c r="E136" s="3" t="s">
        <v>1539</v>
      </c>
      <c r="F136" s="3" t="s">
        <v>1540</v>
      </c>
    </row>
    <row r="137" spans="1:6" ht="66" customHeight="1">
      <c r="A137" s="3" t="s">
        <v>1358</v>
      </c>
      <c r="B137" s="3" t="s">
        <v>727</v>
      </c>
      <c r="C137" s="3" t="s">
        <v>1359</v>
      </c>
      <c r="D137" s="3" t="s">
        <v>1360</v>
      </c>
      <c r="E137" s="3" t="s">
        <v>724</v>
      </c>
      <c r="F137" s="3" t="s">
        <v>726</v>
      </c>
    </row>
    <row r="138" spans="1:6" ht="66" customHeight="1">
      <c r="A138" s="3" t="s">
        <v>1358</v>
      </c>
      <c r="B138" s="3" t="s">
        <v>1541</v>
      </c>
      <c r="C138" s="3" t="s">
        <v>1362</v>
      </c>
      <c r="D138" s="3" t="s">
        <v>1366</v>
      </c>
      <c r="E138" s="3" t="s">
        <v>1542</v>
      </c>
      <c r="F138" s="3" t="s">
        <v>726</v>
      </c>
    </row>
    <row r="139" spans="1:6" ht="66" customHeight="1">
      <c r="A139" s="3" t="s">
        <v>1358</v>
      </c>
      <c r="B139" s="3" t="s">
        <v>1543</v>
      </c>
      <c r="C139" s="3" t="s">
        <v>1362</v>
      </c>
      <c r="D139" s="3" t="s">
        <v>1366</v>
      </c>
      <c r="E139" s="3" t="s">
        <v>1544</v>
      </c>
      <c r="F139" s="3" t="s">
        <v>726</v>
      </c>
    </row>
    <row r="140" spans="1:6" ht="66" customHeight="1">
      <c r="A140" s="3" t="s">
        <v>1358</v>
      </c>
      <c r="B140" s="3" t="s">
        <v>732</v>
      </c>
      <c r="C140" s="3" t="s">
        <v>1359</v>
      </c>
      <c r="D140" s="3" t="s">
        <v>1360</v>
      </c>
      <c r="E140" s="3" t="s">
        <v>729</v>
      </c>
      <c r="F140" s="3" t="s">
        <v>731</v>
      </c>
    </row>
    <row r="141" spans="1:6" ht="66" customHeight="1">
      <c r="A141" s="3" t="s">
        <v>1358</v>
      </c>
      <c r="B141" s="3" t="s">
        <v>1545</v>
      </c>
      <c r="C141" s="3" t="s">
        <v>1362</v>
      </c>
      <c r="D141" s="3" t="s">
        <v>1366</v>
      </c>
      <c r="E141" s="3" t="s">
        <v>1546</v>
      </c>
      <c r="F141" s="3" t="s">
        <v>1547</v>
      </c>
    </row>
    <row r="142" spans="1:6" ht="66" customHeight="1">
      <c r="A142" s="3" t="s">
        <v>1358</v>
      </c>
      <c r="B142" s="3" t="s">
        <v>737</v>
      </c>
      <c r="C142" s="3" t="s">
        <v>1359</v>
      </c>
      <c r="D142" s="3" t="s">
        <v>1360</v>
      </c>
      <c r="E142" s="3" t="s">
        <v>734</v>
      </c>
      <c r="F142" s="3" t="s">
        <v>736</v>
      </c>
    </row>
    <row r="143" spans="1:6" ht="66" customHeight="1">
      <c r="A143" s="3" t="s">
        <v>1358</v>
      </c>
      <c r="B143" s="3" t="s">
        <v>792</v>
      </c>
      <c r="C143" s="3" t="s">
        <v>1359</v>
      </c>
      <c r="D143" s="3" t="s">
        <v>1360</v>
      </c>
      <c r="E143" s="3" t="s">
        <v>786</v>
      </c>
      <c r="F143" s="3" t="s">
        <v>791</v>
      </c>
    </row>
    <row r="144" spans="1:6" ht="66" customHeight="1">
      <c r="A144" s="3" t="s">
        <v>1358</v>
      </c>
      <c r="B144" s="3" t="s">
        <v>796</v>
      </c>
      <c r="C144" s="3" t="s">
        <v>1359</v>
      </c>
      <c r="D144" s="3" t="s">
        <v>1360</v>
      </c>
      <c r="E144" s="3" t="s">
        <v>794</v>
      </c>
      <c r="F144" s="3" t="s">
        <v>791</v>
      </c>
    </row>
    <row r="145" spans="1:6" ht="66" customHeight="1">
      <c r="A145" s="3" t="s">
        <v>1358</v>
      </c>
      <c r="B145" s="3" t="s">
        <v>801</v>
      </c>
      <c r="C145" s="3" t="s">
        <v>1359</v>
      </c>
      <c r="D145" s="3" t="s">
        <v>1360</v>
      </c>
      <c r="E145" s="3" t="s">
        <v>798</v>
      </c>
      <c r="F145" s="3" t="s">
        <v>800</v>
      </c>
    </row>
    <row r="146" spans="1:6" ht="66" customHeight="1">
      <c r="A146" s="3" t="s">
        <v>1358</v>
      </c>
      <c r="B146" s="3" t="s">
        <v>1548</v>
      </c>
      <c r="C146" s="3" t="s">
        <v>1362</v>
      </c>
      <c r="D146" s="3" t="s">
        <v>1366</v>
      </c>
      <c r="E146" s="3" t="s">
        <v>1549</v>
      </c>
      <c r="F146" s="3" t="s">
        <v>1550</v>
      </c>
    </row>
    <row r="147" spans="1:6" ht="66" customHeight="1">
      <c r="A147" s="3" t="s">
        <v>1358</v>
      </c>
      <c r="B147" s="3" t="s">
        <v>1551</v>
      </c>
      <c r="C147" s="3" t="s">
        <v>1362</v>
      </c>
      <c r="D147" s="3" t="s">
        <v>1366</v>
      </c>
      <c r="E147" s="3" t="s">
        <v>1552</v>
      </c>
      <c r="F147" s="3" t="s">
        <v>1553</v>
      </c>
    </row>
    <row r="148" spans="1:6" ht="66" customHeight="1">
      <c r="A148" s="3" t="s">
        <v>1358</v>
      </c>
      <c r="B148" s="3" t="s">
        <v>806</v>
      </c>
      <c r="C148" s="3" t="s">
        <v>1359</v>
      </c>
      <c r="D148" s="3" t="s">
        <v>1360</v>
      </c>
      <c r="E148" s="3" t="s">
        <v>803</v>
      </c>
      <c r="F148" s="3" t="s">
        <v>805</v>
      </c>
    </row>
    <row r="149" spans="1:6" ht="66" customHeight="1">
      <c r="A149" s="3" t="s">
        <v>1358</v>
      </c>
      <c r="B149" s="3" t="s">
        <v>811</v>
      </c>
      <c r="C149" s="3" t="s">
        <v>1359</v>
      </c>
      <c r="D149" s="3" t="s">
        <v>1360</v>
      </c>
      <c r="E149" s="3" t="s">
        <v>808</v>
      </c>
      <c r="F149" s="3" t="s">
        <v>810</v>
      </c>
    </row>
    <row r="150" spans="1:6" ht="66" customHeight="1">
      <c r="A150" s="3" t="s">
        <v>1358</v>
      </c>
      <c r="B150" s="3" t="s">
        <v>816</v>
      </c>
      <c r="C150" s="3" t="s">
        <v>1359</v>
      </c>
      <c r="D150" s="3" t="s">
        <v>1360</v>
      </c>
      <c r="E150" s="3" t="s">
        <v>813</v>
      </c>
      <c r="F150" s="3" t="s">
        <v>815</v>
      </c>
    </row>
    <row r="151" spans="1:6" ht="66" customHeight="1">
      <c r="A151" s="3" t="s">
        <v>1358</v>
      </c>
      <c r="B151" s="3" t="s">
        <v>821</v>
      </c>
      <c r="C151" s="3" t="s">
        <v>1359</v>
      </c>
      <c r="D151" s="3" t="s">
        <v>1360</v>
      </c>
      <c r="E151" s="3" t="s">
        <v>818</v>
      </c>
      <c r="F151" s="3" t="s">
        <v>820</v>
      </c>
    </row>
    <row r="152" spans="1:6" ht="66" customHeight="1">
      <c r="A152" s="3" t="s">
        <v>1358</v>
      </c>
      <c r="B152" s="3" t="s">
        <v>1554</v>
      </c>
      <c r="C152" s="3" t="s">
        <v>1362</v>
      </c>
      <c r="D152" s="3" t="s">
        <v>1555</v>
      </c>
      <c r="E152" s="3" t="s">
        <v>1556</v>
      </c>
      <c r="F152" s="3" t="s">
        <v>1557</v>
      </c>
    </row>
    <row r="153" spans="1:6" ht="66" customHeight="1">
      <c r="A153" s="3" t="s">
        <v>1358</v>
      </c>
      <c r="B153" s="3" t="s">
        <v>829</v>
      </c>
      <c r="C153" s="3" t="s">
        <v>1359</v>
      </c>
      <c r="D153" s="3" t="s">
        <v>1360</v>
      </c>
      <c r="E153" s="3" t="s">
        <v>823</v>
      </c>
      <c r="F153" s="3" t="s">
        <v>828</v>
      </c>
    </row>
    <row r="154" spans="1:6" ht="66" customHeight="1">
      <c r="A154" s="3" t="s">
        <v>1358</v>
      </c>
      <c r="B154" s="3" t="s">
        <v>833</v>
      </c>
      <c r="C154" s="3" t="s">
        <v>1359</v>
      </c>
      <c r="D154" s="3" t="s">
        <v>1360</v>
      </c>
      <c r="E154" s="3" t="s">
        <v>831</v>
      </c>
      <c r="F154" s="3" t="s">
        <v>828</v>
      </c>
    </row>
    <row r="155" spans="1:6" ht="66" customHeight="1">
      <c r="A155" s="3" t="s">
        <v>1358</v>
      </c>
      <c r="B155" s="3" t="s">
        <v>838</v>
      </c>
      <c r="C155" s="3" t="s">
        <v>1359</v>
      </c>
      <c r="D155" s="3" t="s">
        <v>1360</v>
      </c>
      <c r="E155" s="3" t="s">
        <v>835</v>
      </c>
      <c r="F155" s="3" t="s">
        <v>837</v>
      </c>
    </row>
    <row r="156" spans="1:6" ht="66" customHeight="1">
      <c r="A156" s="3" t="s">
        <v>1358</v>
      </c>
      <c r="B156" s="3" t="s">
        <v>842</v>
      </c>
      <c r="C156" s="3" t="s">
        <v>1359</v>
      </c>
      <c r="D156" s="3" t="s">
        <v>1360</v>
      </c>
      <c r="E156" s="3" t="s">
        <v>840</v>
      </c>
      <c r="F156" s="3" t="s">
        <v>837</v>
      </c>
    </row>
    <row r="157" spans="1:6" ht="66" customHeight="1">
      <c r="A157" s="3" t="s">
        <v>1358</v>
      </c>
      <c r="B157" s="3" t="s">
        <v>846</v>
      </c>
      <c r="C157" s="3" t="s">
        <v>1359</v>
      </c>
      <c r="D157" s="3" t="s">
        <v>1360</v>
      </c>
      <c r="E157" s="3" t="s">
        <v>844</v>
      </c>
      <c r="F157" s="3" t="s">
        <v>837</v>
      </c>
    </row>
    <row r="158" spans="1:6" ht="66" customHeight="1">
      <c r="A158" s="3" t="s">
        <v>1358</v>
      </c>
      <c r="B158" s="3" t="s">
        <v>851</v>
      </c>
      <c r="C158" s="3" t="s">
        <v>1359</v>
      </c>
      <c r="D158" s="3" t="s">
        <v>1360</v>
      </c>
      <c r="E158" s="3" t="s">
        <v>848</v>
      </c>
      <c r="F158" s="3" t="s">
        <v>850</v>
      </c>
    </row>
    <row r="159" spans="1:6" ht="66" customHeight="1">
      <c r="A159" s="3" t="s">
        <v>1358</v>
      </c>
      <c r="B159" s="3" t="s">
        <v>856</v>
      </c>
      <c r="C159" s="3" t="s">
        <v>1359</v>
      </c>
      <c r="D159" s="3" t="s">
        <v>1360</v>
      </c>
      <c r="E159" s="3" t="s">
        <v>853</v>
      </c>
      <c r="F159" s="3" t="s">
        <v>855</v>
      </c>
    </row>
    <row r="160" spans="1:6" ht="66" customHeight="1">
      <c r="A160" s="3" t="s">
        <v>1358</v>
      </c>
      <c r="B160" s="3" t="s">
        <v>861</v>
      </c>
      <c r="C160" s="3" t="s">
        <v>1359</v>
      </c>
      <c r="D160" s="3" t="s">
        <v>1360</v>
      </c>
      <c r="E160" s="3" t="s">
        <v>858</v>
      </c>
      <c r="F160" s="3" t="s">
        <v>860</v>
      </c>
    </row>
    <row r="161" spans="1:6" ht="66" customHeight="1">
      <c r="A161" s="3" t="s">
        <v>1358</v>
      </c>
      <c r="B161" s="3" t="s">
        <v>1558</v>
      </c>
      <c r="C161" s="3" t="s">
        <v>1362</v>
      </c>
      <c r="D161" s="3" t="s">
        <v>1366</v>
      </c>
      <c r="E161" s="3" t="s">
        <v>1559</v>
      </c>
      <c r="F161" s="3" t="s">
        <v>865</v>
      </c>
    </row>
    <row r="162" spans="1:6" ht="66" customHeight="1">
      <c r="A162" s="3" t="s">
        <v>1358</v>
      </c>
      <c r="B162" s="3" t="s">
        <v>1560</v>
      </c>
      <c r="C162" s="3" t="s">
        <v>1362</v>
      </c>
      <c r="D162" s="3" t="s">
        <v>1366</v>
      </c>
      <c r="E162" s="3" t="s">
        <v>1561</v>
      </c>
      <c r="F162" s="3" t="s">
        <v>865</v>
      </c>
    </row>
    <row r="163" spans="1:6" ht="66" customHeight="1">
      <c r="A163" s="3" t="s">
        <v>1358</v>
      </c>
      <c r="B163" s="3" t="s">
        <v>1562</v>
      </c>
      <c r="C163" s="3" t="s">
        <v>1362</v>
      </c>
      <c r="D163" s="3" t="s">
        <v>1366</v>
      </c>
      <c r="E163" s="3" t="s">
        <v>1563</v>
      </c>
      <c r="F163" s="3" t="s">
        <v>865</v>
      </c>
    </row>
    <row r="164" spans="1:6" ht="66" customHeight="1">
      <c r="A164" s="3" t="s">
        <v>1358</v>
      </c>
      <c r="B164" s="3" t="s">
        <v>866</v>
      </c>
      <c r="C164" s="3" t="s">
        <v>1359</v>
      </c>
      <c r="D164" s="3" t="s">
        <v>1360</v>
      </c>
      <c r="E164" s="3" t="s">
        <v>863</v>
      </c>
      <c r="F164" s="3" t="s">
        <v>865</v>
      </c>
    </row>
    <row r="165" spans="1:6" ht="66" customHeight="1">
      <c r="A165" s="3" t="s">
        <v>1358</v>
      </c>
      <c r="B165" s="3" t="s">
        <v>870</v>
      </c>
      <c r="C165" s="3" t="s">
        <v>1359</v>
      </c>
      <c r="D165" s="3" t="s">
        <v>1360</v>
      </c>
      <c r="E165" s="3" t="s">
        <v>868</v>
      </c>
      <c r="F165" s="3" t="s">
        <v>865</v>
      </c>
    </row>
    <row r="166" spans="1:6" ht="66" customHeight="1">
      <c r="A166" s="3" t="s">
        <v>1358</v>
      </c>
      <c r="B166" s="3" t="s">
        <v>874</v>
      </c>
      <c r="C166" s="3" t="s">
        <v>1359</v>
      </c>
      <c r="D166" s="3" t="s">
        <v>1360</v>
      </c>
      <c r="E166" s="3" t="s">
        <v>872</v>
      </c>
      <c r="F166" s="3" t="s">
        <v>865</v>
      </c>
    </row>
    <row r="167" spans="1:6" ht="66" customHeight="1">
      <c r="A167" s="3" t="s">
        <v>1358</v>
      </c>
      <c r="B167" s="3" t="s">
        <v>1564</v>
      </c>
      <c r="C167" s="3" t="s">
        <v>1362</v>
      </c>
      <c r="D167" s="3" t="s">
        <v>1366</v>
      </c>
      <c r="E167" s="3" t="s">
        <v>1565</v>
      </c>
      <c r="F167" s="3" t="s">
        <v>878</v>
      </c>
    </row>
    <row r="168" spans="1:6" ht="66" customHeight="1">
      <c r="A168" s="3" t="s">
        <v>1358</v>
      </c>
      <c r="B168" s="3" t="s">
        <v>1566</v>
      </c>
      <c r="C168" s="3" t="s">
        <v>1362</v>
      </c>
      <c r="D168" s="3" t="s">
        <v>1366</v>
      </c>
      <c r="E168" s="3" t="s">
        <v>1567</v>
      </c>
      <c r="F168" s="3" t="s">
        <v>878</v>
      </c>
    </row>
    <row r="169" spans="1:6" ht="66" customHeight="1">
      <c r="A169" s="3" t="s">
        <v>1358</v>
      </c>
      <c r="B169" s="3" t="s">
        <v>1568</v>
      </c>
      <c r="C169" s="3" t="s">
        <v>1362</v>
      </c>
      <c r="D169" s="3" t="s">
        <v>1366</v>
      </c>
      <c r="E169" s="3" t="s">
        <v>1569</v>
      </c>
      <c r="F169" s="3" t="s">
        <v>887</v>
      </c>
    </row>
    <row r="170" spans="1:6" ht="66" customHeight="1">
      <c r="A170" s="3" t="s">
        <v>1358</v>
      </c>
      <c r="B170" s="3" t="s">
        <v>1570</v>
      </c>
      <c r="C170" s="3" t="s">
        <v>1362</v>
      </c>
      <c r="D170" s="3" t="s">
        <v>1366</v>
      </c>
      <c r="E170" s="3" t="s">
        <v>892</v>
      </c>
      <c r="F170" s="3" t="s">
        <v>887</v>
      </c>
    </row>
    <row r="171" spans="1:6" ht="66" customHeight="1">
      <c r="A171" s="3" t="s">
        <v>1358</v>
      </c>
      <c r="B171" s="3" t="s">
        <v>888</v>
      </c>
      <c r="C171" s="3" t="s">
        <v>1359</v>
      </c>
      <c r="D171" s="3" t="s">
        <v>1360</v>
      </c>
      <c r="E171" s="3" t="s">
        <v>885</v>
      </c>
      <c r="F171" s="3" t="s">
        <v>887</v>
      </c>
    </row>
    <row r="172" spans="1:6" ht="66" customHeight="1">
      <c r="A172" s="3" t="s">
        <v>1358</v>
      </c>
      <c r="B172" s="3" t="s">
        <v>1571</v>
      </c>
      <c r="C172" s="3" t="s">
        <v>1362</v>
      </c>
      <c r="D172" s="3" t="s">
        <v>1366</v>
      </c>
      <c r="E172" s="3" t="s">
        <v>1572</v>
      </c>
      <c r="F172" s="3" t="s">
        <v>1573</v>
      </c>
    </row>
    <row r="173" spans="1:6" ht="66" customHeight="1">
      <c r="A173" s="3" t="s">
        <v>1358</v>
      </c>
      <c r="B173" s="3" t="s">
        <v>1574</v>
      </c>
      <c r="C173" s="3" t="s">
        <v>1362</v>
      </c>
      <c r="D173" s="3" t="s">
        <v>1366</v>
      </c>
      <c r="E173" s="3" t="s">
        <v>1575</v>
      </c>
      <c r="F173" s="3" t="s">
        <v>1573</v>
      </c>
    </row>
    <row r="174" spans="1:6" ht="66" customHeight="1">
      <c r="A174" s="3" t="s">
        <v>1358</v>
      </c>
      <c r="B174" s="3" t="s">
        <v>1576</v>
      </c>
      <c r="C174" s="3" t="s">
        <v>1362</v>
      </c>
      <c r="D174" s="3" t="s">
        <v>1366</v>
      </c>
      <c r="E174" s="3" t="s">
        <v>1577</v>
      </c>
      <c r="F174" s="3" t="s">
        <v>1573</v>
      </c>
    </row>
    <row r="175" spans="1:6" ht="66" customHeight="1">
      <c r="A175" s="3" t="s">
        <v>1358</v>
      </c>
      <c r="B175" s="3" t="s">
        <v>1578</v>
      </c>
      <c r="C175" s="3" t="s">
        <v>1362</v>
      </c>
      <c r="D175" s="3" t="s">
        <v>1366</v>
      </c>
      <c r="E175" s="3" t="s">
        <v>1579</v>
      </c>
      <c r="F175" s="3" t="s">
        <v>897</v>
      </c>
    </row>
    <row r="176" spans="1:6" ht="66" customHeight="1">
      <c r="A176" s="3" t="s">
        <v>1358</v>
      </c>
      <c r="B176" s="3" t="s">
        <v>898</v>
      </c>
      <c r="C176" s="3" t="s">
        <v>1359</v>
      </c>
      <c r="D176" s="3" t="s">
        <v>1360</v>
      </c>
      <c r="E176" s="3" t="s">
        <v>895</v>
      </c>
      <c r="F176" s="3" t="s">
        <v>897</v>
      </c>
    </row>
    <row r="177" spans="1:6" ht="66" customHeight="1">
      <c r="A177" s="3" t="s">
        <v>1358</v>
      </c>
      <c r="B177" s="3" t="s">
        <v>907</v>
      </c>
      <c r="C177" s="3" t="s">
        <v>1359</v>
      </c>
      <c r="D177" s="3" t="s">
        <v>1360</v>
      </c>
      <c r="E177" s="3" t="s">
        <v>904</v>
      </c>
      <c r="F177" s="3" t="s">
        <v>906</v>
      </c>
    </row>
    <row r="178" spans="1:6" ht="66" customHeight="1">
      <c r="A178" s="3" t="s">
        <v>1358</v>
      </c>
      <c r="B178" s="3" t="s">
        <v>1580</v>
      </c>
      <c r="C178" s="3" t="s">
        <v>1362</v>
      </c>
      <c r="D178" s="3" t="s">
        <v>1366</v>
      </c>
      <c r="E178" s="3" t="s">
        <v>1581</v>
      </c>
      <c r="F178" s="3" t="s">
        <v>1582</v>
      </c>
    </row>
    <row r="179" spans="1:6" ht="66" customHeight="1">
      <c r="A179" s="3" t="s">
        <v>1358</v>
      </c>
      <c r="B179" s="3" t="s">
        <v>1583</v>
      </c>
      <c r="C179" s="3" t="s">
        <v>1362</v>
      </c>
      <c r="D179" s="3" t="s">
        <v>1366</v>
      </c>
      <c r="E179" s="3" t="s">
        <v>1584</v>
      </c>
      <c r="F179" s="3" t="s">
        <v>1585</v>
      </c>
    </row>
    <row r="180" spans="1:6" ht="66" customHeight="1">
      <c r="A180" s="3" t="s">
        <v>1358</v>
      </c>
      <c r="B180" s="3" t="s">
        <v>1586</v>
      </c>
      <c r="C180" s="3" t="s">
        <v>1362</v>
      </c>
      <c r="D180" s="3" t="s">
        <v>1366</v>
      </c>
      <c r="E180" s="3" t="s">
        <v>1587</v>
      </c>
      <c r="F180" s="3" t="s">
        <v>1588</v>
      </c>
    </row>
    <row r="181" spans="1:6" ht="66" customHeight="1">
      <c r="A181" s="3" t="s">
        <v>1358</v>
      </c>
      <c r="B181" s="3" t="s">
        <v>1589</v>
      </c>
      <c r="C181" s="3" t="s">
        <v>1362</v>
      </c>
      <c r="D181" s="3" t="s">
        <v>1366</v>
      </c>
      <c r="E181" s="3" t="s">
        <v>1590</v>
      </c>
      <c r="F181" s="3" t="s">
        <v>1588</v>
      </c>
    </row>
    <row r="182" spans="1:6" ht="66" customHeight="1">
      <c r="A182" s="3" t="s">
        <v>1358</v>
      </c>
      <c r="B182" s="3" t="s">
        <v>1591</v>
      </c>
      <c r="C182" s="3" t="s">
        <v>1362</v>
      </c>
      <c r="D182" s="3" t="s">
        <v>1366</v>
      </c>
      <c r="E182" s="3" t="s">
        <v>1592</v>
      </c>
      <c r="F182" s="3" t="s">
        <v>971</v>
      </c>
    </row>
    <row r="183" spans="1:6" ht="66" customHeight="1">
      <c r="A183" s="3" t="s">
        <v>1358</v>
      </c>
      <c r="B183" s="3" t="s">
        <v>972</v>
      </c>
      <c r="C183" s="3" t="s">
        <v>1359</v>
      </c>
      <c r="D183" s="3" t="s">
        <v>1360</v>
      </c>
      <c r="E183" s="3" t="s">
        <v>966</v>
      </c>
      <c r="F183" s="3" t="s">
        <v>971</v>
      </c>
    </row>
    <row r="184" spans="1:6" ht="66" customHeight="1">
      <c r="A184" s="3" t="s">
        <v>1358</v>
      </c>
      <c r="B184" s="3" t="s">
        <v>987</v>
      </c>
      <c r="C184" s="3" t="s">
        <v>1359</v>
      </c>
      <c r="D184" s="3" t="s">
        <v>1360</v>
      </c>
      <c r="E184" s="3" t="s">
        <v>984</v>
      </c>
      <c r="F184" s="3" t="s">
        <v>986</v>
      </c>
    </row>
    <row r="185" spans="1:6" ht="66" customHeight="1">
      <c r="A185" s="3" t="s">
        <v>1358</v>
      </c>
      <c r="B185" s="3" t="s">
        <v>992</v>
      </c>
      <c r="C185" s="3" t="s">
        <v>1359</v>
      </c>
      <c r="D185" s="3" t="s">
        <v>1360</v>
      </c>
      <c r="E185" s="3" t="s">
        <v>989</v>
      </c>
      <c r="F185" s="3" t="s">
        <v>991</v>
      </c>
    </row>
    <row r="186" spans="1:6" ht="66" customHeight="1">
      <c r="A186" s="3" t="s">
        <v>1358</v>
      </c>
      <c r="B186" s="3" t="s">
        <v>997</v>
      </c>
      <c r="C186" s="3" t="s">
        <v>1359</v>
      </c>
      <c r="D186" s="3" t="s">
        <v>1360</v>
      </c>
      <c r="E186" s="3" t="s">
        <v>994</v>
      </c>
      <c r="F186" s="3" t="s">
        <v>996</v>
      </c>
    </row>
    <row r="187" spans="1:6" ht="66" customHeight="1">
      <c r="A187" s="3" t="s">
        <v>1358</v>
      </c>
      <c r="B187" s="3" t="s">
        <v>1001</v>
      </c>
      <c r="C187" s="3" t="s">
        <v>1359</v>
      </c>
      <c r="D187" s="3" t="s">
        <v>1360</v>
      </c>
      <c r="E187" s="3" t="s">
        <v>999</v>
      </c>
      <c r="F187" s="3" t="s">
        <v>996</v>
      </c>
    </row>
    <row r="188" spans="1:6" ht="66" customHeight="1">
      <c r="A188" s="3" t="s">
        <v>1358</v>
      </c>
      <c r="B188" s="3" t="s">
        <v>1006</v>
      </c>
      <c r="C188" s="3" t="s">
        <v>1359</v>
      </c>
      <c r="D188" s="3" t="s">
        <v>1360</v>
      </c>
      <c r="E188" s="3" t="s">
        <v>1003</v>
      </c>
      <c r="F188" s="3" t="s">
        <v>1005</v>
      </c>
    </row>
    <row r="189" spans="1:6" ht="66" customHeight="1">
      <c r="A189" s="3" t="s">
        <v>1358</v>
      </c>
      <c r="B189" s="3" t="s">
        <v>1593</v>
      </c>
      <c r="C189" s="3" t="s">
        <v>1362</v>
      </c>
      <c r="D189" s="3" t="s">
        <v>1366</v>
      </c>
      <c r="E189" s="3" t="s">
        <v>1594</v>
      </c>
      <c r="F189" s="3" t="s">
        <v>1010</v>
      </c>
    </row>
    <row r="190" spans="1:6" ht="66" customHeight="1">
      <c r="A190" s="3" t="s">
        <v>1358</v>
      </c>
      <c r="B190" s="3" t="s">
        <v>1595</v>
      </c>
      <c r="C190" s="3" t="s">
        <v>1362</v>
      </c>
      <c r="D190" s="3" t="s">
        <v>1363</v>
      </c>
      <c r="E190" s="3" t="s">
        <v>1596</v>
      </c>
      <c r="F190" s="3" t="s">
        <v>1597</v>
      </c>
    </row>
    <row r="191" spans="1:6" ht="66" customHeight="1">
      <c r="A191" s="3" t="s">
        <v>1358</v>
      </c>
      <c r="B191" s="3" t="s">
        <v>1016</v>
      </c>
      <c r="C191" s="3" t="s">
        <v>1359</v>
      </c>
      <c r="D191" s="3" t="s">
        <v>1360</v>
      </c>
      <c r="E191" s="3" t="s">
        <v>1013</v>
      </c>
      <c r="F191" s="3" t="s">
        <v>1015</v>
      </c>
    </row>
    <row r="192" spans="1:6" ht="66" customHeight="1">
      <c r="A192" s="3" t="s">
        <v>1358</v>
      </c>
      <c r="B192" s="3" t="s">
        <v>1021</v>
      </c>
      <c r="C192" s="3" t="s">
        <v>1359</v>
      </c>
      <c r="D192" s="3" t="s">
        <v>1360</v>
      </c>
      <c r="E192" s="3" t="s">
        <v>1018</v>
      </c>
      <c r="F192" s="3" t="s">
        <v>1020</v>
      </c>
    </row>
    <row r="193" spans="1:6" ht="66" customHeight="1">
      <c r="A193" s="3" t="s">
        <v>1358</v>
      </c>
      <c r="B193" s="3" t="s">
        <v>1026</v>
      </c>
      <c r="C193" s="3" t="s">
        <v>1359</v>
      </c>
      <c r="D193" s="3" t="s">
        <v>1360</v>
      </c>
      <c r="E193" s="3" t="s">
        <v>1023</v>
      </c>
      <c r="F193" s="3" t="s">
        <v>1025</v>
      </c>
    </row>
    <row r="194" spans="1:6" ht="66" customHeight="1">
      <c r="A194" s="3" t="s">
        <v>1358</v>
      </c>
      <c r="B194" s="3" t="s">
        <v>1598</v>
      </c>
      <c r="C194" s="3" t="s">
        <v>1362</v>
      </c>
      <c r="D194" s="3" t="s">
        <v>1366</v>
      </c>
      <c r="E194" s="3" t="s">
        <v>1599</v>
      </c>
      <c r="F194" s="3" t="s">
        <v>1025</v>
      </c>
    </row>
    <row r="195" spans="1:6" ht="66" customHeight="1">
      <c r="A195" s="3" t="s">
        <v>1358</v>
      </c>
      <c r="B195" s="3" t="s">
        <v>1031</v>
      </c>
      <c r="C195" s="3" t="s">
        <v>1359</v>
      </c>
      <c r="D195" s="3" t="s">
        <v>1360</v>
      </c>
      <c r="E195" s="3" t="s">
        <v>1028</v>
      </c>
      <c r="F195" s="3" t="s">
        <v>1030</v>
      </c>
    </row>
    <row r="196" spans="1:6" ht="66" customHeight="1">
      <c r="A196" s="3" t="s">
        <v>1358</v>
      </c>
      <c r="B196" s="3" t="s">
        <v>1600</v>
      </c>
      <c r="C196" s="3" t="s">
        <v>1362</v>
      </c>
      <c r="D196" s="3" t="s">
        <v>1366</v>
      </c>
      <c r="E196" s="3" t="s">
        <v>1601</v>
      </c>
      <c r="F196" s="3" t="s">
        <v>1035</v>
      </c>
    </row>
    <row r="197" spans="1:6" ht="66" customHeight="1">
      <c r="A197" s="3" t="s">
        <v>1358</v>
      </c>
      <c r="B197" s="3" t="s">
        <v>1036</v>
      </c>
      <c r="C197" s="3" t="s">
        <v>1359</v>
      </c>
      <c r="D197" s="3" t="s">
        <v>1360</v>
      </c>
      <c r="E197" s="3" t="s">
        <v>1033</v>
      </c>
      <c r="F197" s="3" t="s">
        <v>1035</v>
      </c>
    </row>
    <row r="198" spans="1:6" ht="66" customHeight="1">
      <c r="A198" s="3" t="s">
        <v>1358</v>
      </c>
      <c r="B198" s="3" t="s">
        <v>1041</v>
      </c>
      <c r="C198" s="3" t="s">
        <v>1359</v>
      </c>
      <c r="D198" s="3" t="s">
        <v>1360</v>
      </c>
      <c r="E198" s="3" t="s">
        <v>1038</v>
      </c>
      <c r="F198" s="3" t="s">
        <v>1040</v>
      </c>
    </row>
    <row r="199" spans="1:6" ht="66" customHeight="1">
      <c r="A199" s="3" t="s">
        <v>1358</v>
      </c>
      <c r="B199" s="3" t="s">
        <v>1602</v>
      </c>
      <c r="C199" s="3" t="s">
        <v>1362</v>
      </c>
      <c r="D199" s="3" t="s">
        <v>1366</v>
      </c>
      <c r="E199" s="3" t="s">
        <v>1603</v>
      </c>
      <c r="F199" s="3" t="s">
        <v>1604</v>
      </c>
    </row>
    <row r="200" spans="1:6" ht="66" customHeight="1">
      <c r="A200" s="3" t="s">
        <v>1358</v>
      </c>
      <c r="B200" s="3" t="s">
        <v>1605</v>
      </c>
      <c r="C200" s="3" t="s">
        <v>1362</v>
      </c>
      <c r="D200" s="3" t="s">
        <v>1366</v>
      </c>
      <c r="E200" s="3" t="s">
        <v>1606</v>
      </c>
      <c r="F200" s="3" t="s">
        <v>1607</v>
      </c>
    </row>
    <row r="201" spans="1:6" ht="66" customHeight="1">
      <c r="A201" s="3" t="s">
        <v>1358</v>
      </c>
      <c r="B201" s="3" t="s">
        <v>1608</v>
      </c>
      <c r="C201" s="3" t="s">
        <v>1362</v>
      </c>
      <c r="D201" s="3" t="s">
        <v>1366</v>
      </c>
      <c r="E201" s="3" t="s">
        <v>1609</v>
      </c>
      <c r="F201" s="3" t="s">
        <v>1610</v>
      </c>
    </row>
    <row r="202" spans="1:6" ht="66" customHeight="1">
      <c r="A202" s="3" t="s">
        <v>1358</v>
      </c>
      <c r="B202" s="3" t="s">
        <v>1056</v>
      </c>
      <c r="C202" s="3" t="s">
        <v>1359</v>
      </c>
      <c r="D202" s="3" t="s">
        <v>1360</v>
      </c>
      <c r="E202" s="3" t="s">
        <v>1053</v>
      </c>
      <c r="F202" s="3" t="s">
        <v>1055</v>
      </c>
    </row>
    <row r="203" spans="1:6" ht="66" customHeight="1">
      <c r="A203" s="3" t="s">
        <v>1358</v>
      </c>
      <c r="B203" s="3" t="s">
        <v>1060</v>
      </c>
      <c r="C203" s="3" t="s">
        <v>1359</v>
      </c>
      <c r="D203" s="3" t="s">
        <v>1360</v>
      </c>
      <c r="E203" s="3" t="s">
        <v>1058</v>
      </c>
      <c r="F203" s="3" t="s">
        <v>1055</v>
      </c>
    </row>
    <row r="204" spans="1:6" ht="66" customHeight="1">
      <c r="A204" s="3" t="s">
        <v>1358</v>
      </c>
      <c r="B204" s="3" t="s">
        <v>1065</v>
      </c>
      <c r="C204" s="3" t="s">
        <v>1359</v>
      </c>
      <c r="D204" s="3" t="s">
        <v>1360</v>
      </c>
      <c r="E204" s="3" t="s">
        <v>1062</v>
      </c>
      <c r="F204" s="3" t="s">
        <v>1064</v>
      </c>
    </row>
    <row r="205" spans="1:6" ht="66" customHeight="1">
      <c r="A205" s="3" t="s">
        <v>1358</v>
      </c>
      <c r="B205" s="3" t="s">
        <v>1611</v>
      </c>
      <c r="C205" s="3" t="s">
        <v>1362</v>
      </c>
      <c r="D205" s="3" t="s">
        <v>1366</v>
      </c>
      <c r="E205" s="3" t="s">
        <v>1612</v>
      </c>
      <c r="F205" s="3" t="s">
        <v>1064</v>
      </c>
    </row>
    <row r="206" spans="1:6" ht="66" customHeight="1">
      <c r="A206" s="3" t="s">
        <v>1358</v>
      </c>
      <c r="B206" s="3" t="s">
        <v>1071</v>
      </c>
      <c r="C206" s="3" t="s">
        <v>1359</v>
      </c>
      <c r="D206" s="3" t="s">
        <v>1360</v>
      </c>
      <c r="E206" s="3" t="s">
        <v>1067</v>
      </c>
      <c r="F206" s="3" t="s">
        <v>1069</v>
      </c>
    </row>
    <row r="207" spans="1:6" ht="66" customHeight="1">
      <c r="A207" s="3" t="s">
        <v>1358</v>
      </c>
      <c r="B207" s="3" t="s">
        <v>1075</v>
      </c>
      <c r="C207" s="3" t="s">
        <v>1359</v>
      </c>
      <c r="D207" s="3" t="s">
        <v>1360</v>
      </c>
      <c r="E207" s="3" t="s">
        <v>1073</v>
      </c>
      <c r="F207" s="3" t="s">
        <v>1069</v>
      </c>
    </row>
    <row r="208" spans="1:6" ht="66" customHeight="1">
      <c r="A208" s="3" t="s">
        <v>1358</v>
      </c>
      <c r="B208" s="3" t="s">
        <v>1613</v>
      </c>
      <c r="C208" s="3" t="s">
        <v>1362</v>
      </c>
      <c r="D208" s="3" t="s">
        <v>1366</v>
      </c>
      <c r="E208" s="3" t="s">
        <v>1614</v>
      </c>
      <c r="F208" s="3" t="s">
        <v>1079</v>
      </c>
    </row>
    <row r="209" spans="1:6" ht="66" customHeight="1">
      <c r="A209" s="3" t="s">
        <v>1358</v>
      </c>
      <c r="B209" s="3" t="s">
        <v>1080</v>
      </c>
      <c r="C209" s="3" t="s">
        <v>1359</v>
      </c>
      <c r="D209" s="3" t="s">
        <v>1360</v>
      </c>
      <c r="E209" s="3" t="s">
        <v>1077</v>
      </c>
      <c r="F209" s="3" t="s">
        <v>1079</v>
      </c>
    </row>
    <row r="210" spans="1:6" ht="66" customHeight="1">
      <c r="A210" s="3" t="s">
        <v>1358</v>
      </c>
      <c r="B210" s="3" t="s">
        <v>1085</v>
      </c>
      <c r="C210" s="3" t="s">
        <v>1359</v>
      </c>
      <c r="D210" s="3" t="s">
        <v>1360</v>
      </c>
      <c r="E210" s="3" t="s">
        <v>1082</v>
      </c>
      <c r="F210" s="3" t="s">
        <v>1084</v>
      </c>
    </row>
    <row r="211" spans="1:6" ht="66" customHeight="1">
      <c r="A211" s="3" t="s">
        <v>1358</v>
      </c>
      <c r="B211" s="3" t="s">
        <v>1615</v>
      </c>
      <c r="C211" s="3" t="s">
        <v>1362</v>
      </c>
      <c r="D211" s="3" t="s">
        <v>1366</v>
      </c>
      <c r="E211" s="3" t="s">
        <v>1616</v>
      </c>
      <c r="F211" s="3" t="s">
        <v>1084</v>
      </c>
    </row>
    <row r="212" spans="1:6" ht="66" customHeight="1">
      <c r="A212" s="3" t="s">
        <v>1358</v>
      </c>
      <c r="B212" s="3" t="s">
        <v>1091</v>
      </c>
      <c r="C212" s="3" t="s">
        <v>1359</v>
      </c>
      <c r="D212" s="3" t="s">
        <v>1360</v>
      </c>
      <c r="E212" s="3" t="s">
        <v>1089</v>
      </c>
      <c r="F212" s="3" t="s">
        <v>1090</v>
      </c>
    </row>
    <row r="213" spans="1:6" ht="66" customHeight="1">
      <c r="A213" s="3" t="s">
        <v>1358</v>
      </c>
      <c r="B213" s="3" t="s">
        <v>1617</v>
      </c>
      <c r="C213" s="3" t="s">
        <v>1362</v>
      </c>
      <c r="D213" s="3" t="s">
        <v>1366</v>
      </c>
      <c r="E213" s="3" t="s">
        <v>1618</v>
      </c>
      <c r="F213" s="3" t="s">
        <v>1619</v>
      </c>
    </row>
    <row r="214" spans="1:6" ht="66" customHeight="1">
      <c r="A214" s="3" t="s">
        <v>1358</v>
      </c>
      <c r="B214" s="3" t="s">
        <v>1620</v>
      </c>
      <c r="C214" s="3" t="s">
        <v>1362</v>
      </c>
      <c r="D214" s="3" t="s">
        <v>1366</v>
      </c>
      <c r="E214" s="3" t="s">
        <v>1621</v>
      </c>
      <c r="F214" s="3" t="s">
        <v>1619</v>
      </c>
    </row>
    <row r="215" spans="1:6" ht="66" customHeight="1">
      <c r="A215" s="3" t="s">
        <v>1358</v>
      </c>
      <c r="B215" s="3" t="s">
        <v>1622</v>
      </c>
      <c r="C215" s="3" t="s">
        <v>1362</v>
      </c>
      <c r="D215" s="3" t="s">
        <v>1363</v>
      </c>
      <c r="E215" s="3" t="s">
        <v>1463</v>
      </c>
      <c r="F215" s="3" t="s">
        <v>1623</v>
      </c>
    </row>
    <row r="216" spans="1:6" ht="66" customHeight="1">
      <c r="A216" s="3" t="s">
        <v>1358</v>
      </c>
      <c r="B216" s="3" t="s">
        <v>1624</v>
      </c>
      <c r="C216" s="3" t="s">
        <v>1362</v>
      </c>
      <c r="D216" s="3" t="s">
        <v>1625</v>
      </c>
      <c r="E216" s="3" t="s">
        <v>1626</v>
      </c>
      <c r="F216" s="3" t="s">
        <v>1627</v>
      </c>
    </row>
    <row r="217" spans="1:6" ht="66" customHeight="1">
      <c r="A217" s="3" t="s">
        <v>1358</v>
      </c>
      <c r="B217" s="3" t="s">
        <v>1628</v>
      </c>
      <c r="C217" s="3" t="s">
        <v>1362</v>
      </c>
      <c r="D217" s="3" t="s">
        <v>1366</v>
      </c>
      <c r="E217" s="3" t="s">
        <v>1629</v>
      </c>
      <c r="F217" s="3" t="s">
        <v>1630</v>
      </c>
    </row>
    <row r="218" spans="1:6" ht="66" customHeight="1">
      <c r="A218" s="3" t="s">
        <v>1358</v>
      </c>
      <c r="B218" s="3" t="s">
        <v>1631</v>
      </c>
      <c r="C218" s="3" t="s">
        <v>1362</v>
      </c>
      <c r="D218" s="3" t="s">
        <v>1366</v>
      </c>
      <c r="E218" s="3" t="s">
        <v>1632</v>
      </c>
      <c r="F218" s="3" t="s">
        <v>1630</v>
      </c>
    </row>
    <row r="219" spans="1:6" ht="66" customHeight="1">
      <c r="A219" s="3" t="s">
        <v>1358</v>
      </c>
      <c r="B219" s="3" t="s">
        <v>1101</v>
      </c>
      <c r="C219" s="3" t="s">
        <v>1359</v>
      </c>
      <c r="D219" s="3" t="s">
        <v>1360</v>
      </c>
      <c r="E219" s="3" t="s">
        <v>1098</v>
      </c>
      <c r="F219" s="3" t="s">
        <v>1100</v>
      </c>
    </row>
    <row r="220" spans="1:6" ht="66" customHeight="1">
      <c r="A220" s="3" t="s">
        <v>1358</v>
      </c>
      <c r="B220" s="3" t="s">
        <v>1633</v>
      </c>
      <c r="C220" s="3" t="s">
        <v>1362</v>
      </c>
      <c r="D220" s="3" t="s">
        <v>1366</v>
      </c>
      <c r="E220" s="3" t="s">
        <v>1634</v>
      </c>
      <c r="F220" s="3" t="s">
        <v>1105</v>
      </c>
    </row>
    <row r="221" spans="1:6" ht="66" customHeight="1">
      <c r="A221" s="3" t="s">
        <v>1358</v>
      </c>
      <c r="B221" s="3" t="s">
        <v>1111</v>
      </c>
      <c r="C221" s="3" t="s">
        <v>1359</v>
      </c>
      <c r="D221" s="3" t="s">
        <v>1360</v>
      </c>
      <c r="E221" s="3" t="s">
        <v>1108</v>
      </c>
      <c r="F221" s="3" t="s">
        <v>1110</v>
      </c>
    </row>
    <row r="222" spans="1:6" ht="66" customHeight="1">
      <c r="A222" s="3" t="s">
        <v>1358</v>
      </c>
      <c r="B222" s="3" t="s">
        <v>1116</v>
      </c>
      <c r="C222" s="3" t="s">
        <v>1359</v>
      </c>
      <c r="D222" s="3" t="s">
        <v>1360</v>
      </c>
      <c r="E222" s="3" t="s">
        <v>1113</v>
      </c>
      <c r="F222" s="3" t="s">
        <v>1110</v>
      </c>
    </row>
    <row r="223" spans="1:6" ht="66" customHeight="1">
      <c r="A223" s="3" t="s">
        <v>1358</v>
      </c>
      <c r="B223" s="3" t="s">
        <v>1121</v>
      </c>
      <c r="C223" s="3" t="s">
        <v>1359</v>
      </c>
      <c r="D223" s="3" t="s">
        <v>1360</v>
      </c>
      <c r="E223" s="3" t="s">
        <v>1118</v>
      </c>
      <c r="F223" s="3" t="s">
        <v>1120</v>
      </c>
    </row>
    <row r="224" spans="1:6" ht="66" customHeight="1">
      <c r="A224" s="3" t="s">
        <v>1358</v>
      </c>
      <c r="B224" s="3" t="s">
        <v>1126</v>
      </c>
      <c r="C224" s="3" t="s">
        <v>1359</v>
      </c>
      <c r="D224" s="3" t="s">
        <v>1360</v>
      </c>
      <c r="E224" s="3" t="s">
        <v>1123</v>
      </c>
      <c r="F224" s="3" t="s">
        <v>1125</v>
      </c>
    </row>
    <row r="225" spans="1:6" ht="66" customHeight="1">
      <c r="A225" s="3" t="s">
        <v>1358</v>
      </c>
      <c r="B225" s="3" t="s">
        <v>1635</v>
      </c>
      <c r="C225" s="3" t="s">
        <v>1362</v>
      </c>
      <c r="D225" s="3" t="s">
        <v>1366</v>
      </c>
      <c r="E225" s="3" t="s">
        <v>1636</v>
      </c>
      <c r="F225" s="3" t="s">
        <v>1637</v>
      </c>
    </row>
    <row r="226" spans="1:6" ht="66" customHeight="1">
      <c r="A226" s="3" t="s">
        <v>1358</v>
      </c>
      <c r="B226" s="3" t="s">
        <v>1131</v>
      </c>
      <c r="C226" s="3" t="s">
        <v>1359</v>
      </c>
      <c r="D226" s="3" t="s">
        <v>1360</v>
      </c>
      <c r="E226" s="3" t="s">
        <v>1128</v>
      </c>
      <c r="F226" s="3" t="s">
        <v>1130</v>
      </c>
    </row>
    <row r="227" spans="1:6" ht="66" customHeight="1">
      <c r="A227" s="3" t="s">
        <v>1358</v>
      </c>
      <c r="B227" s="3" t="s">
        <v>1137</v>
      </c>
      <c r="C227" s="3" t="s">
        <v>1359</v>
      </c>
      <c r="D227" s="3" t="s">
        <v>1360</v>
      </c>
      <c r="E227" s="3" t="s">
        <v>1135</v>
      </c>
      <c r="F227" s="3" t="s">
        <v>1136</v>
      </c>
    </row>
    <row r="228" spans="1:6" ht="66" customHeight="1">
      <c r="A228" s="3" t="s">
        <v>1358</v>
      </c>
      <c r="B228" s="3" t="s">
        <v>1142</v>
      </c>
      <c r="C228" s="3" t="s">
        <v>1359</v>
      </c>
      <c r="D228" s="3" t="s">
        <v>1360</v>
      </c>
      <c r="E228" s="3" t="s">
        <v>1139</v>
      </c>
      <c r="F228" s="3" t="s">
        <v>1141</v>
      </c>
    </row>
    <row r="229" spans="1:6" ht="66" customHeight="1">
      <c r="A229" s="3" t="s">
        <v>1358</v>
      </c>
      <c r="B229" s="3" t="s">
        <v>1638</v>
      </c>
      <c r="C229" s="3" t="s">
        <v>1362</v>
      </c>
      <c r="D229" s="3" t="s">
        <v>1366</v>
      </c>
      <c r="E229" s="3" t="s">
        <v>1639</v>
      </c>
      <c r="F229" s="3" t="s">
        <v>1146</v>
      </c>
    </row>
    <row r="230" spans="1:6" ht="66" customHeight="1">
      <c r="A230" s="3" t="s">
        <v>1358</v>
      </c>
      <c r="B230" s="3" t="s">
        <v>1152</v>
      </c>
      <c r="C230" s="3" t="s">
        <v>1359</v>
      </c>
      <c r="D230" s="3" t="s">
        <v>1360</v>
      </c>
      <c r="E230" s="3" t="s">
        <v>1149</v>
      </c>
      <c r="F230" s="3" t="s">
        <v>1151</v>
      </c>
    </row>
    <row r="231" spans="1:6" ht="66" customHeight="1">
      <c r="A231" s="3" t="s">
        <v>1358</v>
      </c>
      <c r="B231" s="3" t="s">
        <v>1156</v>
      </c>
      <c r="C231" s="3" t="s">
        <v>1359</v>
      </c>
      <c r="D231" s="3" t="s">
        <v>1360</v>
      </c>
      <c r="E231" s="3" t="s">
        <v>1154</v>
      </c>
      <c r="F231" s="3" t="s">
        <v>1151</v>
      </c>
    </row>
    <row r="232" spans="1:6" ht="66" customHeight="1">
      <c r="A232" s="3" t="s">
        <v>1358</v>
      </c>
      <c r="B232" s="3" t="s">
        <v>1161</v>
      </c>
      <c r="C232" s="3" t="s">
        <v>1359</v>
      </c>
      <c r="D232" s="3" t="s">
        <v>1360</v>
      </c>
      <c r="E232" s="3" t="s">
        <v>1158</v>
      </c>
      <c r="F232" s="3" t="s">
        <v>1160</v>
      </c>
    </row>
    <row r="233" spans="1:6" ht="66" customHeight="1">
      <c r="A233" s="3" t="s">
        <v>1358</v>
      </c>
      <c r="B233" s="3" t="s">
        <v>1640</v>
      </c>
      <c r="C233" s="3" t="s">
        <v>1362</v>
      </c>
      <c r="D233" s="3" t="s">
        <v>1366</v>
      </c>
      <c r="E233" s="3" t="s">
        <v>1641</v>
      </c>
      <c r="F233" s="3" t="s">
        <v>1642</v>
      </c>
    </row>
    <row r="234" spans="1:6" ht="66" customHeight="1">
      <c r="A234" s="3" t="s">
        <v>1358</v>
      </c>
      <c r="B234" s="3" t="s">
        <v>1169</v>
      </c>
      <c r="C234" s="3" t="s">
        <v>1359</v>
      </c>
      <c r="D234" s="3" t="s">
        <v>1360</v>
      </c>
      <c r="E234" s="3" t="s">
        <v>1163</v>
      </c>
      <c r="F234" s="3" t="s">
        <v>1168</v>
      </c>
    </row>
    <row r="235" spans="1:6" ht="66" customHeight="1">
      <c r="A235" s="3" t="s">
        <v>1358</v>
      </c>
      <c r="B235" s="3" t="s">
        <v>1179</v>
      </c>
      <c r="C235" s="3" t="s">
        <v>1359</v>
      </c>
      <c r="D235" s="3" t="s">
        <v>1360</v>
      </c>
      <c r="E235" s="3" t="s">
        <v>1176</v>
      </c>
      <c r="F235" s="3" t="s">
        <v>1178</v>
      </c>
    </row>
    <row r="236" spans="1:6" ht="66" customHeight="1">
      <c r="A236" s="3" t="s">
        <v>1358</v>
      </c>
      <c r="B236" s="3" t="s">
        <v>1189</v>
      </c>
      <c r="C236" s="3" t="s">
        <v>1359</v>
      </c>
      <c r="D236" s="3" t="s">
        <v>1360</v>
      </c>
      <c r="E236" s="3" t="s">
        <v>1186</v>
      </c>
      <c r="F236" s="3" t="s">
        <v>1188</v>
      </c>
    </row>
    <row r="237" spans="1:6" ht="66" customHeight="1">
      <c r="A237" s="3" t="s">
        <v>1358</v>
      </c>
      <c r="B237" s="3" t="s">
        <v>1194</v>
      </c>
      <c r="C237" s="3" t="s">
        <v>1359</v>
      </c>
      <c r="D237" s="3" t="s">
        <v>1360</v>
      </c>
      <c r="E237" s="3" t="s">
        <v>1191</v>
      </c>
      <c r="F237" s="3" t="s">
        <v>1193</v>
      </c>
    </row>
    <row r="238" spans="1:6" ht="66" customHeight="1">
      <c r="A238" s="3" t="s">
        <v>1358</v>
      </c>
      <c r="B238" s="3" t="s">
        <v>1643</v>
      </c>
      <c r="C238" s="3" t="s">
        <v>1362</v>
      </c>
      <c r="D238" s="3" t="s">
        <v>1366</v>
      </c>
      <c r="E238" s="3" t="s">
        <v>1644</v>
      </c>
      <c r="F238" s="3" t="s">
        <v>1645</v>
      </c>
    </row>
    <row r="239" spans="1:6" ht="66" customHeight="1">
      <c r="A239" s="3" t="s">
        <v>1358</v>
      </c>
      <c r="B239" s="3" t="s">
        <v>1646</v>
      </c>
      <c r="C239" s="3" t="s">
        <v>1362</v>
      </c>
      <c r="D239" s="3" t="s">
        <v>1366</v>
      </c>
      <c r="E239" s="3" t="s">
        <v>1647</v>
      </c>
      <c r="F239" s="3" t="s">
        <v>1648</v>
      </c>
    </row>
    <row r="240" spans="1:6" ht="66" customHeight="1">
      <c r="A240" s="3" t="s">
        <v>1358</v>
      </c>
      <c r="B240" s="3" t="s">
        <v>1649</v>
      </c>
      <c r="C240" s="3" t="s">
        <v>1362</v>
      </c>
      <c r="D240" s="3" t="s">
        <v>1363</v>
      </c>
      <c r="E240" s="3" t="s">
        <v>1463</v>
      </c>
      <c r="F240" s="3" t="s">
        <v>1203</v>
      </c>
    </row>
    <row r="241" spans="1:6" ht="66" customHeight="1">
      <c r="A241" s="3" t="s">
        <v>1358</v>
      </c>
      <c r="B241" s="3" t="s">
        <v>1209</v>
      </c>
      <c r="C241" s="3" t="s">
        <v>1359</v>
      </c>
      <c r="D241" s="3" t="s">
        <v>1360</v>
      </c>
      <c r="E241" s="3" t="s">
        <v>1206</v>
      </c>
      <c r="F241" s="3" t="s">
        <v>1208</v>
      </c>
    </row>
    <row r="242" spans="1:6" ht="66" customHeight="1">
      <c r="A242" s="3" t="s">
        <v>1358</v>
      </c>
      <c r="B242" s="3" t="s">
        <v>1214</v>
      </c>
      <c r="C242" s="3" t="s">
        <v>1359</v>
      </c>
      <c r="D242" s="3" t="s">
        <v>1360</v>
      </c>
      <c r="E242" s="3" t="s">
        <v>1211</v>
      </c>
      <c r="F242" s="3" t="s">
        <v>1213</v>
      </c>
    </row>
    <row r="243" spans="1:6" ht="66" customHeight="1">
      <c r="A243" s="3" t="s">
        <v>1358</v>
      </c>
      <c r="B243" s="3" t="s">
        <v>1650</v>
      </c>
      <c r="C243" s="3" t="s">
        <v>1362</v>
      </c>
      <c r="D243" s="3" t="s">
        <v>1366</v>
      </c>
      <c r="E243" s="3" t="s">
        <v>1651</v>
      </c>
      <c r="F243" s="3" t="s">
        <v>1652</v>
      </c>
    </row>
    <row r="244" spans="1:6" ht="66" customHeight="1">
      <c r="A244" s="3" t="s">
        <v>1358</v>
      </c>
      <c r="B244" s="3" t="s">
        <v>1224</v>
      </c>
      <c r="C244" s="3" t="s">
        <v>1359</v>
      </c>
      <c r="D244" s="3" t="s">
        <v>1360</v>
      </c>
      <c r="E244" s="3" t="s">
        <v>1221</v>
      </c>
      <c r="F244" s="3" t="s">
        <v>1223</v>
      </c>
    </row>
    <row r="245" spans="1:6" ht="66" customHeight="1">
      <c r="A245" s="3" t="s">
        <v>1358</v>
      </c>
      <c r="B245" s="3" t="s">
        <v>1234</v>
      </c>
      <c r="C245" s="3" t="s">
        <v>1359</v>
      </c>
      <c r="D245" s="3" t="s">
        <v>1360</v>
      </c>
      <c r="E245" s="3" t="s">
        <v>1231</v>
      </c>
      <c r="F245" s="3" t="s">
        <v>1233</v>
      </c>
    </row>
    <row r="246" spans="1:6" ht="66" customHeight="1">
      <c r="A246" s="3" t="s">
        <v>1358</v>
      </c>
      <c r="B246" s="3" t="s">
        <v>1239</v>
      </c>
      <c r="C246" s="3" t="s">
        <v>1359</v>
      </c>
      <c r="D246" s="3" t="s">
        <v>1360</v>
      </c>
      <c r="E246" s="3" t="s">
        <v>1236</v>
      </c>
      <c r="F246" s="3" t="s">
        <v>1238</v>
      </c>
    </row>
    <row r="247" spans="1:6" ht="66" customHeight="1">
      <c r="A247" s="3" t="s">
        <v>1358</v>
      </c>
      <c r="B247" s="3" t="s">
        <v>1248</v>
      </c>
      <c r="C247" s="3" t="s">
        <v>1359</v>
      </c>
      <c r="D247" s="3" t="s">
        <v>1360</v>
      </c>
      <c r="E247" s="3" t="s">
        <v>1245</v>
      </c>
      <c r="F247" s="3" t="s">
        <v>1247</v>
      </c>
    </row>
    <row r="248" spans="1:6" ht="66" customHeight="1">
      <c r="A248" s="3" t="s">
        <v>1358</v>
      </c>
      <c r="B248" s="3" t="s">
        <v>1253</v>
      </c>
      <c r="C248" s="3" t="s">
        <v>1359</v>
      </c>
      <c r="D248" s="3" t="s">
        <v>1360</v>
      </c>
      <c r="E248" s="3" t="s">
        <v>1250</v>
      </c>
      <c r="F248" s="3" t="s">
        <v>1252</v>
      </c>
    </row>
    <row r="249" spans="1:6" ht="66" customHeight="1">
      <c r="A249" s="3" t="s">
        <v>1358</v>
      </c>
      <c r="B249" s="3" t="s">
        <v>1263</v>
      </c>
      <c r="C249" s="3" t="s">
        <v>1359</v>
      </c>
      <c r="D249" s="3" t="s">
        <v>1360</v>
      </c>
      <c r="E249" s="3" t="s">
        <v>1260</v>
      </c>
      <c r="F249" s="3" t="s">
        <v>1262</v>
      </c>
    </row>
    <row r="250" spans="1:6" ht="66" customHeight="1">
      <c r="A250" s="3" t="s">
        <v>1358</v>
      </c>
      <c r="B250" s="3" t="s">
        <v>1273</v>
      </c>
      <c r="C250" s="3" t="s">
        <v>1359</v>
      </c>
      <c r="D250" s="3" t="s">
        <v>1360</v>
      </c>
      <c r="E250" s="3" t="s">
        <v>1270</v>
      </c>
      <c r="F250" s="3" t="s">
        <v>1272</v>
      </c>
    </row>
    <row r="251" spans="1:6" ht="66" customHeight="1">
      <c r="A251" s="3" t="s">
        <v>1358</v>
      </c>
      <c r="B251" s="3" t="s">
        <v>1653</v>
      </c>
      <c r="C251" s="3" t="s">
        <v>1362</v>
      </c>
      <c r="D251" s="3" t="s">
        <v>1366</v>
      </c>
      <c r="E251" s="3" t="s">
        <v>1654</v>
      </c>
      <c r="F251" s="3" t="s">
        <v>1272</v>
      </c>
    </row>
    <row r="252" spans="1:6" ht="66" customHeight="1">
      <c r="A252" s="3" t="s">
        <v>1358</v>
      </c>
      <c r="B252" s="3" t="s">
        <v>1655</v>
      </c>
      <c r="C252" s="3" t="s">
        <v>1362</v>
      </c>
      <c r="D252" s="3" t="s">
        <v>1366</v>
      </c>
      <c r="E252" s="3" t="s">
        <v>1656</v>
      </c>
      <c r="F252" s="3" t="s">
        <v>1272</v>
      </c>
    </row>
    <row r="253" spans="1:6" ht="66" customHeight="1">
      <c r="A253" s="3" t="s">
        <v>1358</v>
      </c>
      <c r="B253" s="3" t="s">
        <v>1279</v>
      </c>
      <c r="C253" s="3" t="s">
        <v>1359</v>
      </c>
      <c r="D253" s="3" t="s">
        <v>1360</v>
      </c>
      <c r="E253" s="3" t="s">
        <v>1277</v>
      </c>
      <c r="F253" s="3" t="s">
        <v>1278</v>
      </c>
    </row>
    <row r="254" spans="1:6" ht="66" customHeight="1">
      <c r="A254" s="3" t="s">
        <v>1358</v>
      </c>
      <c r="B254" s="3" t="s">
        <v>1288</v>
      </c>
      <c r="C254" s="3" t="s">
        <v>1359</v>
      </c>
      <c r="D254" s="3" t="s">
        <v>1360</v>
      </c>
      <c r="E254" s="3" t="s">
        <v>1286</v>
      </c>
      <c r="F254" s="3" t="s">
        <v>1287</v>
      </c>
    </row>
    <row r="255" spans="1:6" ht="66" customHeight="1">
      <c r="A255" s="3" t="s">
        <v>1358</v>
      </c>
      <c r="B255" s="3" t="s">
        <v>1292</v>
      </c>
      <c r="C255" s="3" t="s">
        <v>1359</v>
      </c>
      <c r="D255" s="3" t="s">
        <v>1360</v>
      </c>
      <c r="E255" s="3" t="s">
        <v>1290</v>
      </c>
      <c r="F255" s="3" t="s">
        <v>1287</v>
      </c>
    </row>
    <row r="256" spans="1:6" ht="66" customHeight="1">
      <c r="A256" s="3" t="s">
        <v>1358</v>
      </c>
      <c r="B256" s="3" t="s">
        <v>1298</v>
      </c>
      <c r="C256" s="3" t="s">
        <v>1359</v>
      </c>
      <c r="D256" s="3" t="s">
        <v>1360</v>
      </c>
      <c r="E256" s="3" t="s">
        <v>1294</v>
      </c>
      <c r="F256" s="3" t="s">
        <v>1296</v>
      </c>
    </row>
    <row r="257" spans="1:6" ht="66" customHeight="1">
      <c r="A257" s="3" t="s">
        <v>1358</v>
      </c>
      <c r="B257" s="3" t="s">
        <v>1657</v>
      </c>
      <c r="C257" s="3" t="s">
        <v>1362</v>
      </c>
      <c r="D257" s="3" t="s">
        <v>1366</v>
      </c>
      <c r="E257" s="3" t="s">
        <v>1658</v>
      </c>
      <c r="F257" s="3" t="s">
        <v>1296</v>
      </c>
    </row>
    <row r="258" spans="1:6" ht="66" customHeight="1">
      <c r="A258" s="3" t="s">
        <v>1358</v>
      </c>
      <c r="B258" s="3" t="s">
        <v>1659</v>
      </c>
      <c r="C258" s="3" t="s">
        <v>1362</v>
      </c>
      <c r="D258" s="3" t="s">
        <v>1366</v>
      </c>
      <c r="E258" s="3" t="s">
        <v>1660</v>
      </c>
      <c r="F258" s="3" t="s">
        <v>1296</v>
      </c>
    </row>
    <row r="259" spans="1:6" ht="66" customHeight="1">
      <c r="A259" s="3" t="s">
        <v>1358</v>
      </c>
      <c r="B259" s="3" t="s">
        <v>1303</v>
      </c>
      <c r="C259" s="3" t="s">
        <v>1359</v>
      </c>
      <c r="D259" s="3" t="s">
        <v>1360</v>
      </c>
      <c r="E259" s="3" t="s">
        <v>1300</v>
      </c>
      <c r="F259" s="3" t="s">
        <v>1302</v>
      </c>
    </row>
    <row r="260" spans="1:6" ht="66" customHeight="1">
      <c r="A260" s="3" t="s">
        <v>1358</v>
      </c>
      <c r="B260" s="3" t="s">
        <v>1308</v>
      </c>
      <c r="C260" s="3" t="s">
        <v>1359</v>
      </c>
      <c r="D260" s="3" t="s">
        <v>1360</v>
      </c>
      <c r="E260" s="3" t="s">
        <v>1305</v>
      </c>
      <c r="F260" s="3" t="s">
        <v>1307</v>
      </c>
    </row>
    <row r="261" spans="1:6" ht="66" customHeight="1">
      <c r="A261" s="3" t="s">
        <v>1358</v>
      </c>
      <c r="B261" s="3" t="s">
        <v>1313</v>
      </c>
      <c r="C261" s="3" t="s">
        <v>1359</v>
      </c>
      <c r="D261" s="3" t="s">
        <v>1360</v>
      </c>
      <c r="E261" s="3" t="s">
        <v>1310</v>
      </c>
      <c r="F261" s="3" t="s">
        <v>1312</v>
      </c>
    </row>
    <row r="262" spans="1:6" ht="66" customHeight="1">
      <c r="A262" s="3" t="s">
        <v>1358</v>
      </c>
      <c r="B262" s="3" t="s">
        <v>1661</v>
      </c>
      <c r="C262" s="3" t="s">
        <v>1362</v>
      </c>
      <c r="D262" s="3" t="s">
        <v>1436</v>
      </c>
      <c r="E262" s="3" t="s">
        <v>1662</v>
      </c>
      <c r="F262" s="3" t="s">
        <v>1663</v>
      </c>
    </row>
    <row r="263" spans="1:6" ht="66" customHeight="1">
      <c r="A263" s="3" t="s">
        <v>1358</v>
      </c>
      <c r="B263" s="3" t="s">
        <v>1664</v>
      </c>
      <c r="C263" s="3" t="s">
        <v>1362</v>
      </c>
      <c r="D263" s="3" t="s">
        <v>1366</v>
      </c>
      <c r="E263" s="3" t="s">
        <v>1665</v>
      </c>
      <c r="F263" s="3" t="s">
        <v>1317</v>
      </c>
    </row>
    <row r="264" spans="1:6" ht="66" customHeight="1">
      <c r="A264" s="3" t="s">
        <v>1358</v>
      </c>
      <c r="B264" s="3" t="s">
        <v>1318</v>
      </c>
      <c r="C264" s="3" t="s">
        <v>1359</v>
      </c>
      <c r="D264" s="3" t="s">
        <v>1360</v>
      </c>
      <c r="E264" s="3" t="s">
        <v>1315</v>
      </c>
      <c r="F264" s="3" t="s">
        <v>1317</v>
      </c>
    </row>
    <row r="265" spans="1:6" ht="66" customHeight="1">
      <c r="A265" s="3" t="s">
        <v>1358</v>
      </c>
      <c r="B265" s="3" t="s">
        <v>1666</v>
      </c>
      <c r="C265" s="3" t="s">
        <v>1362</v>
      </c>
      <c r="D265" s="3" t="s">
        <v>1366</v>
      </c>
      <c r="E265" s="3" t="s">
        <v>1322</v>
      </c>
      <c r="F265" s="3" t="s">
        <v>1323</v>
      </c>
    </row>
    <row r="266" spans="1:6" ht="66" customHeight="1">
      <c r="A266" s="3" t="s">
        <v>1358</v>
      </c>
      <c r="B266" s="3" t="s">
        <v>1667</v>
      </c>
      <c r="C266" s="3" t="s">
        <v>1362</v>
      </c>
      <c r="D266" s="3" t="s">
        <v>1366</v>
      </c>
      <c r="E266" s="3" t="s">
        <v>1668</v>
      </c>
      <c r="F266" s="3" t="s">
        <v>1323</v>
      </c>
    </row>
    <row r="267" spans="1:6" ht="66" customHeight="1">
      <c r="A267" s="3" t="s">
        <v>1358</v>
      </c>
      <c r="B267" s="3" t="s">
        <v>1340</v>
      </c>
      <c r="C267" s="3" t="s">
        <v>1359</v>
      </c>
      <c r="D267" s="3" t="s">
        <v>1360</v>
      </c>
      <c r="E267" s="3" t="s">
        <v>1337</v>
      </c>
      <c r="F267" s="3" t="s">
        <v>1339</v>
      </c>
    </row>
    <row r="268" spans="1:6" ht="66" customHeight="1">
      <c r="A268" s="3" t="s">
        <v>1358</v>
      </c>
      <c r="B268" s="3" t="s">
        <v>1345</v>
      </c>
      <c r="C268" s="3" t="s">
        <v>1359</v>
      </c>
      <c r="D268" s="3" t="s">
        <v>1360</v>
      </c>
      <c r="E268" s="3" t="s">
        <v>1342</v>
      </c>
      <c r="F268" s="3" t="s">
        <v>1344</v>
      </c>
    </row>
    <row r="269" spans="1:6" ht="66" customHeight="1">
      <c r="A269" s="3" t="s">
        <v>1669</v>
      </c>
      <c r="B269" s="3" t="s">
        <v>1670</v>
      </c>
      <c r="C269" s="3" t="s">
        <v>1362</v>
      </c>
      <c r="D269" s="3" t="s">
        <v>1366</v>
      </c>
      <c r="E269" s="3" t="s">
        <v>1671</v>
      </c>
      <c r="F269" s="3" t="s">
        <v>35</v>
      </c>
    </row>
    <row r="270" spans="1:6" ht="66" customHeight="1">
      <c r="A270" s="3" t="s">
        <v>1669</v>
      </c>
      <c r="B270" s="3" t="s">
        <v>42</v>
      </c>
      <c r="C270" s="3" t="s">
        <v>1359</v>
      </c>
      <c r="D270" s="3" t="s">
        <v>1672</v>
      </c>
      <c r="E270" s="3" t="s">
        <v>28</v>
      </c>
      <c r="F270" s="3" t="s">
        <v>35</v>
      </c>
    </row>
    <row r="271" spans="1:6" ht="66" customHeight="1">
      <c r="A271" s="3" t="s">
        <v>1669</v>
      </c>
      <c r="B271" s="3" t="s">
        <v>52</v>
      </c>
      <c r="C271" s="3" t="s">
        <v>1359</v>
      </c>
      <c r="D271" s="3" t="s">
        <v>1672</v>
      </c>
      <c r="E271" s="3" t="s">
        <v>47</v>
      </c>
      <c r="F271" s="3" t="s">
        <v>35</v>
      </c>
    </row>
    <row r="272" spans="1:6" ht="66" customHeight="1">
      <c r="A272" s="3" t="s">
        <v>1669</v>
      </c>
      <c r="B272" s="3" t="s">
        <v>1673</v>
      </c>
      <c r="C272" s="3" t="s">
        <v>1362</v>
      </c>
      <c r="D272" s="3" t="s">
        <v>1366</v>
      </c>
      <c r="E272" s="3" t="s">
        <v>1674</v>
      </c>
      <c r="F272" s="3" t="s">
        <v>35</v>
      </c>
    </row>
    <row r="273" spans="1:6" ht="66" customHeight="1">
      <c r="A273" s="3" t="s">
        <v>1669</v>
      </c>
      <c r="B273" s="3" t="s">
        <v>58</v>
      </c>
      <c r="C273" s="3" t="s">
        <v>1359</v>
      </c>
      <c r="D273" s="3" t="s">
        <v>1672</v>
      </c>
      <c r="E273" s="3" t="s">
        <v>56</v>
      </c>
      <c r="F273" s="3" t="s">
        <v>35</v>
      </c>
    </row>
    <row r="274" spans="1:6" ht="66" customHeight="1">
      <c r="A274" s="3" t="s">
        <v>1669</v>
      </c>
      <c r="B274" s="3" t="s">
        <v>63</v>
      </c>
      <c r="C274" s="3" t="s">
        <v>1359</v>
      </c>
      <c r="D274" s="3" t="s">
        <v>1672</v>
      </c>
      <c r="E274" s="3" t="s">
        <v>60</v>
      </c>
      <c r="F274" s="3" t="s">
        <v>35</v>
      </c>
    </row>
    <row r="275" spans="1:6" ht="66" customHeight="1">
      <c r="A275" s="3" t="s">
        <v>1669</v>
      </c>
      <c r="B275" s="3" t="s">
        <v>72</v>
      </c>
      <c r="C275" s="3" t="s">
        <v>1359</v>
      </c>
      <c r="D275" s="3" t="s">
        <v>1672</v>
      </c>
      <c r="E275" s="3" t="s">
        <v>65</v>
      </c>
      <c r="F275" s="3" t="s">
        <v>70</v>
      </c>
    </row>
    <row r="276" spans="1:6" ht="66" customHeight="1">
      <c r="A276" s="3" t="s">
        <v>1669</v>
      </c>
      <c r="B276" s="3" t="s">
        <v>1675</v>
      </c>
      <c r="C276" s="3" t="s">
        <v>1362</v>
      </c>
      <c r="D276" s="3" t="s">
        <v>1366</v>
      </c>
      <c r="E276" s="3" t="s">
        <v>1676</v>
      </c>
      <c r="F276" s="3" t="s">
        <v>1677</v>
      </c>
    </row>
    <row r="277" spans="1:6" ht="66" customHeight="1">
      <c r="A277" s="3" t="s">
        <v>1669</v>
      </c>
      <c r="B277" s="3" t="s">
        <v>1678</v>
      </c>
      <c r="C277" s="3" t="s">
        <v>1362</v>
      </c>
      <c r="D277" s="3" t="s">
        <v>1366</v>
      </c>
      <c r="E277" s="3" t="s">
        <v>1679</v>
      </c>
      <c r="F277" s="3" t="s">
        <v>1680</v>
      </c>
    </row>
    <row r="278" spans="1:6" ht="66" customHeight="1">
      <c r="A278" s="3" t="s">
        <v>1669</v>
      </c>
      <c r="B278" s="3" t="s">
        <v>1681</v>
      </c>
      <c r="C278" s="3" t="s">
        <v>1362</v>
      </c>
      <c r="D278" s="3" t="s">
        <v>1366</v>
      </c>
      <c r="E278" s="3" t="s">
        <v>1682</v>
      </c>
      <c r="F278" s="3" t="s">
        <v>1683</v>
      </c>
    </row>
    <row r="279" spans="1:6" ht="66" customHeight="1">
      <c r="A279" s="3" t="s">
        <v>1669</v>
      </c>
      <c r="B279" s="3" t="s">
        <v>78</v>
      </c>
      <c r="C279" s="3" t="s">
        <v>1359</v>
      </c>
      <c r="D279" s="3" t="s">
        <v>1672</v>
      </c>
      <c r="E279" s="3" t="s">
        <v>74</v>
      </c>
      <c r="F279" s="3" t="s">
        <v>77</v>
      </c>
    </row>
    <row r="280" spans="1:6" ht="66" customHeight="1">
      <c r="A280" s="3" t="s">
        <v>1669</v>
      </c>
      <c r="B280" s="3" t="s">
        <v>1684</v>
      </c>
      <c r="C280" s="3" t="s">
        <v>1362</v>
      </c>
      <c r="D280" s="3" t="s">
        <v>1366</v>
      </c>
      <c r="E280" s="3" t="s">
        <v>1685</v>
      </c>
      <c r="F280" s="3" t="s">
        <v>77</v>
      </c>
    </row>
    <row r="281" spans="1:6" ht="66" customHeight="1">
      <c r="A281" s="3" t="s">
        <v>1669</v>
      </c>
      <c r="B281" s="3" t="s">
        <v>1686</v>
      </c>
      <c r="C281" s="3" t="s">
        <v>1362</v>
      </c>
      <c r="D281" s="3" t="s">
        <v>1363</v>
      </c>
      <c r="E281" s="3" t="s">
        <v>1687</v>
      </c>
      <c r="F281" s="3" t="s">
        <v>77</v>
      </c>
    </row>
    <row r="282" spans="1:6" ht="66" customHeight="1">
      <c r="A282" s="3" t="s">
        <v>1669</v>
      </c>
      <c r="B282" s="3" t="s">
        <v>1688</v>
      </c>
      <c r="C282" s="3" t="s">
        <v>1362</v>
      </c>
      <c r="D282" s="3" t="s">
        <v>1366</v>
      </c>
      <c r="E282" s="3" t="s">
        <v>1689</v>
      </c>
      <c r="F282" s="3" t="s">
        <v>1690</v>
      </c>
    </row>
    <row r="283" spans="1:6" ht="66" customHeight="1">
      <c r="A283" s="3" t="s">
        <v>1669</v>
      </c>
      <c r="B283" s="3" t="s">
        <v>1691</v>
      </c>
      <c r="C283" s="3" t="s">
        <v>1362</v>
      </c>
      <c r="D283" s="3" t="s">
        <v>1366</v>
      </c>
      <c r="E283" s="3" t="s">
        <v>1692</v>
      </c>
      <c r="F283" s="3" t="s">
        <v>1690</v>
      </c>
    </row>
    <row r="284" spans="1:6" ht="66" customHeight="1">
      <c r="A284" s="3" t="s">
        <v>1669</v>
      </c>
      <c r="B284" s="3" t="s">
        <v>1693</v>
      </c>
      <c r="C284" s="3" t="s">
        <v>1362</v>
      </c>
      <c r="D284" s="3" t="s">
        <v>1363</v>
      </c>
      <c r="E284" s="3" t="s">
        <v>1694</v>
      </c>
      <c r="F284" s="3" t="s">
        <v>1690</v>
      </c>
    </row>
    <row r="285" spans="1:6" ht="66" customHeight="1">
      <c r="A285" s="3" t="s">
        <v>1669</v>
      </c>
      <c r="B285" s="3" t="s">
        <v>1695</v>
      </c>
      <c r="C285" s="3" t="s">
        <v>1362</v>
      </c>
      <c r="D285" s="3" t="s">
        <v>1366</v>
      </c>
      <c r="E285" s="3" t="s">
        <v>1696</v>
      </c>
      <c r="F285" s="3" t="s">
        <v>1690</v>
      </c>
    </row>
    <row r="286" spans="1:6" ht="66" customHeight="1">
      <c r="A286" s="3" t="s">
        <v>1669</v>
      </c>
      <c r="B286" s="3" t="s">
        <v>83</v>
      </c>
      <c r="C286" s="3" t="s">
        <v>1359</v>
      </c>
      <c r="D286" s="3" t="s">
        <v>1672</v>
      </c>
      <c r="E286" s="3" t="s">
        <v>80</v>
      </c>
      <c r="F286" s="3" t="s">
        <v>82</v>
      </c>
    </row>
    <row r="287" spans="1:6" ht="66" customHeight="1">
      <c r="A287" s="3" t="s">
        <v>1669</v>
      </c>
      <c r="B287" s="3" t="s">
        <v>1697</v>
      </c>
      <c r="C287" s="3" t="s">
        <v>1362</v>
      </c>
      <c r="D287" s="3" t="s">
        <v>1366</v>
      </c>
      <c r="E287" s="3" t="s">
        <v>1698</v>
      </c>
      <c r="F287" s="3" t="s">
        <v>1699</v>
      </c>
    </row>
    <row r="288" spans="1:6" ht="66" customHeight="1">
      <c r="A288" s="3" t="s">
        <v>1669</v>
      </c>
      <c r="B288" s="3" t="s">
        <v>1700</v>
      </c>
      <c r="C288" s="3" t="s">
        <v>1362</v>
      </c>
      <c r="D288" s="3" t="s">
        <v>1366</v>
      </c>
      <c r="E288" s="3" t="s">
        <v>1701</v>
      </c>
      <c r="F288" s="3" t="s">
        <v>1702</v>
      </c>
    </row>
    <row r="289" spans="1:6" ht="66" customHeight="1">
      <c r="A289" s="3" t="s">
        <v>1669</v>
      </c>
      <c r="B289" s="3" t="s">
        <v>88</v>
      </c>
      <c r="C289" s="3" t="s">
        <v>1359</v>
      </c>
      <c r="D289" s="3" t="s">
        <v>1672</v>
      </c>
      <c r="E289" s="3" t="s">
        <v>85</v>
      </c>
      <c r="F289" s="3" t="s">
        <v>87</v>
      </c>
    </row>
    <row r="290" spans="1:6" ht="66" customHeight="1">
      <c r="A290" s="3" t="s">
        <v>1669</v>
      </c>
      <c r="B290" s="3" t="s">
        <v>1703</v>
      </c>
      <c r="C290" s="3" t="s">
        <v>1362</v>
      </c>
      <c r="D290" s="3" t="s">
        <v>1366</v>
      </c>
      <c r="E290" s="3" t="s">
        <v>1704</v>
      </c>
      <c r="F290" s="3" t="s">
        <v>1705</v>
      </c>
    </row>
    <row r="291" spans="1:6" ht="66" customHeight="1">
      <c r="A291" s="3" t="s">
        <v>1669</v>
      </c>
      <c r="B291" s="3" t="s">
        <v>94</v>
      </c>
      <c r="C291" s="3" t="s">
        <v>1359</v>
      </c>
      <c r="D291" s="3" t="s">
        <v>1672</v>
      </c>
      <c r="E291" s="3" t="s">
        <v>90</v>
      </c>
      <c r="F291" s="3" t="s">
        <v>92</v>
      </c>
    </row>
    <row r="292" spans="1:6" ht="66" customHeight="1">
      <c r="A292" s="3" t="s">
        <v>1669</v>
      </c>
      <c r="B292" s="3" t="s">
        <v>1706</v>
      </c>
      <c r="C292" s="3" t="s">
        <v>1362</v>
      </c>
      <c r="D292" s="3" t="s">
        <v>1366</v>
      </c>
      <c r="E292" s="3" t="s">
        <v>1707</v>
      </c>
      <c r="F292" s="3" t="s">
        <v>1708</v>
      </c>
    </row>
    <row r="293" spans="1:6" ht="66" customHeight="1">
      <c r="A293" s="3" t="s">
        <v>1669</v>
      </c>
      <c r="B293" s="3" t="s">
        <v>101</v>
      </c>
      <c r="C293" s="3" t="s">
        <v>1359</v>
      </c>
      <c r="D293" s="3" t="s">
        <v>1672</v>
      </c>
      <c r="E293" s="3" t="s">
        <v>96</v>
      </c>
      <c r="F293" s="3" t="s">
        <v>98</v>
      </c>
    </row>
    <row r="294" spans="1:6" ht="66" customHeight="1">
      <c r="A294" s="3" t="s">
        <v>1669</v>
      </c>
      <c r="B294" s="3" t="s">
        <v>1709</v>
      </c>
      <c r="C294" s="3" t="s">
        <v>1362</v>
      </c>
      <c r="D294" s="3" t="s">
        <v>1366</v>
      </c>
      <c r="E294" s="3" t="s">
        <v>1710</v>
      </c>
      <c r="F294" s="3" t="s">
        <v>1711</v>
      </c>
    </row>
    <row r="295" spans="1:6" ht="66" customHeight="1">
      <c r="A295" s="3" t="s">
        <v>1669</v>
      </c>
      <c r="B295" s="3" t="s">
        <v>1712</v>
      </c>
      <c r="C295" s="3" t="s">
        <v>1362</v>
      </c>
      <c r="D295" s="3" t="s">
        <v>1366</v>
      </c>
      <c r="E295" s="3" t="s">
        <v>1713</v>
      </c>
      <c r="F295" s="3" t="s">
        <v>1714</v>
      </c>
    </row>
    <row r="296" spans="1:6" ht="66" customHeight="1">
      <c r="A296" s="3" t="s">
        <v>1669</v>
      </c>
      <c r="B296" s="3" t="s">
        <v>1715</v>
      </c>
      <c r="C296" s="3" t="s">
        <v>1362</v>
      </c>
      <c r="D296" s="3" t="s">
        <v>1366</v>
      </c>
      <c r="E296" s="3" t="s">
        <v>1716</v>
      </c>
      <c r="F296" s="3" t="s">
        <v>1717</v>
      </c>
    </row>
    <row r="297" spans="1:6" ht="66" customHeight="1">
      <c r="A297" s="3" t="s">
        <v>1669</v>
      </c>
      <c r="B297" s="3" t="s">
        <v>107</v>
      </c>
      <c r="C297" s="3" t="s">
        <v>1359</v>
      </c>
      <c r="D297" s="3" t="s">
        <v>1672</v>
      </c>
      <c r="E297" s="3" t="s">
        <v>103</v>
      </c>
      <c r="F297" s="3" t="s">
        <v>105</v>
      </c>
    </row>
    <row r="298" spans="1:6" ht="66" customHeight="1">
      <c r="A298" s="3" t="s">
        <v>1669</v>
      </c>
      <c r="B298" s="3" t="s">
        <v>113</v>
      </c>
      <c r="C298" s="3" t="s">
        <v>1359</v>
      </c>
      <c r="D298" s="3" t="s">
        <v>1672</v>
      </c>
      <c r="E298" s="3" t="s">
        <v>109</v>
      </c>
      <c r="F298" s="3" t="s">
        <v>111</v>
      </c>
    </row>
    <row r="299" spans="1:6" ht="66" customHeight="1">
      <c r="A299" s="3" t="s">
        <v>1669</v>
      </c>
      <c r="B299" s="3" t="s">
        <v>118</v>
      </c>
      <c r="C299" s="3" t="s">
        <v>1359</v>
      </c>
      <c r="D299" s="3" t="s">
        <v>1672</v>
      </c>
      <c r="E299" s="3" t="s">
        <v>115</v>
      </c>
      <c r="F299" s="3" t="s">
        <v>117</v>
      </c>
    </row>
    <row r="300" spans="1:6" ht="66" customHeight="1">
      <c r="A300" s="3" t="s">
        <v>1669</v>
      </c>
      <c r="B300" s="3" t="s">
        <v>123</v>
      </c>
      <c r="C300" s="3" t="s">
        <v>1359</v>
      </c>
      <c r="D300" s="3" t="s">
        <v>1672</v>
      </c>
      <c r="E300" s="3" t="s">
        <v>120</v>
      </c>
      <c r="F300" s="3" t="s">
        <v>122</v>
      </c>
    </row>
    <row r="301" spans="1:6" ht="66" customHeight="1">
      <c r="A301" s="3" t="s">
        <v>1669</v>
      </c>
      <c r="B301" s="3" t="s">
        <v>129</v>
      </c>
      <c r="C301" s="3" t="s">
        <v>1359</v>
      </c>
      <c r="D301" s="3" t="s">
        <v>1672</v>
      </c>
      <c r="E301" s="3" t="s">
        <v>125</v>
      </c>
      <c r="F301" s="3" t="s">
        <v>127</v>
      </c>
    </row>
    <row r="302" spans="1:6" ht="66" customHeight="1">
      <c r="A302" s="3" t="s">
        <v>1669</v>
      </c>
      <c r="B302" s="3" t="s">
        <v>134</v>
      </c>
      <c r="C302" s="3" t="s">
        <v>1359</v>
      </c>
      <c r="D302" s="3" t="s">
        <v>1672</v>
      </c>
      <c r="E302" s="3" t="s">
        <v>131</v>
      </c>
      <c r="F302" s="3" t="s">
        <v>133</v>
      </c>
    </row>
    <row r="303" spans="1:6" ht="66" customHeight="1">
      <c r="A303" s="3" t="s">
        <v>1669</v>
      </c>
      <c r="B303" s="3" t="s">
        <v>138</v>
      </c>
      <c r="C303" s="3" t="s">
        <v>1359</v>
      </c>
      <c r="D303" s="3" t="s">
        <v>1672</v>
      </c>
      <c r="E303" s="3" t="s">
        <v>136</v>
      </c>
      <c r="F303" s="3" t="s">
        <v>133</v>
      </c>
    </row>
    <row r="304" spans="1:6" ht="66" customHeight="1">
      <c r="A304" s="3" t="s">
        <v>1669</v>
      </c>
      <c r="B304" s="3" t="s">
        <v>1718</v>
      </c>
      <c r="C304" s="3" t="s">
        <v>1362</v>
      </c>
      <c r="D304" s="3" t="s">
        <v>1366</v>
      </c>
      <c r="E304" s="3" t="s">
        <v>1719</v>
      </c>
      <c r="F304" s="3" t="s">
        <v>1720</v>
      </c>
    </row>
    <row r="305" spans="1:6" ht="66" customHeight="1">
      <c r="A305" s="3" t="s">
        <v>1669</v>
      </c>
      <c r="B305" s="3" t="s">
        <v>1721</v>
      </c>
      <c r="C305" s="3" t="s">
        <v>1362</v>
      </c>
      <c r="D305" s="3" t="s">
        <v>1366</v>
      </c>
      <c r="E305" s="3" t="s">
        <v>1722</v>
      </c>
      <c r="F305" s="3" t="s">
        <v>1723</v>
      </c>
    </row>
    <row r="306" spans="1:6" ht="66" customHeight="1">
      <c r="A306" s="3" t="s">
        <v>1669</v>
      </c>
      <c r="B306" s="3" t="s">
        <v>144</v>
      </c>
      <c r="C306" s="3" t="s">
        <v>1359</v>
      </c>
      <c r="D306" s="3" t="s">
        <v>1672</v>
      </c>
      <c r="E306" s="3" t="s">
        <v>140</v>
      </c>
      <c r="F306" s="3" t="s">
        <v>142</v>
      </c>
    </row>
    <row r="307" spans="1:6" ht="66" customHeight="1">
      <c r="A307" s="3" t="s">
        <v>1669</v>
      </c>
      <c r="B307" s="3" t="s">
        <v>150</v>
      </c>
      <c r="C307" s="3" t="s">
        <v>1359</v>
      </c>
      <c r="D307" s="3" t="s">
        <v>1672</v>
      </c>
      <c r="E307" s="3" t="s">
        <v>146</v>
      </c>
      <c r="F307" s="3" t="s">
        <v>148</v>
      </c>
    </row>
    <row r="308" spans="1:6" ht="66" customHeight="1">
      <c r="A308" s="3" t="s">
        <v>1669</v>
      </c>
      <c r="B308" s="3" t="s">
        <v>156</v>
      </c>
      <c r="C308" s="3" t="s">
        <v>1359</v>
      </c>
      <c r="D308" s="3" t="s">
        <v>1672</v>
      </c>
      <c r="E308" s="3" t="s">
        <v>152</v>
      </c>
      <c r="F308" s="3" t="s">
        <v>154</v>
      </c>
    </row>
    <row r="309" spans="1:6" ht="66" customHeight="1">
      <c r="A309" s="3" t="s">
        <v>1669</v>
      </c>
      <c r="B309" s="3" t="s">
        <v>1724</v>
      </c>
      <c r="C309" s="3" t="s">
        <v>1362</v>
      </c>
      <c r="D309" s="3" t="s">
        <v>1366</v>
      </c>
      <c r="E309" s="3" t="s">
        <v>1725</v>
      </c>
      <c r="F309" s="3" t="s">
        <v>1726</v>
      </c>
    </row>
    <row r="310" spans="1:6" ht="66" customHeight="1">
      <c r="A310" s="3" t="s">
        <v>1669</v>
      </c>
      <c r="B310" s="3" t="s">
        <v>1727</v>
      </c>
      <c r="C310" s="3" t="s">
        <v>1362</v>
      </c>
      <c r="D310" s="3" t="s">
        <v>1366</v>
      </c>
      <c r="E310" s="3" t="s">
        <v>1728</v>
      </c>
      <c r="F310" s="3" t="s">
        <v>1726</v>
      </c>
    </row>
    <row r="311" spans="1:6" ht="66" customHeight="1">
      <c r="A311" s="3" t="s">
        <v>1669</v>
      </c>
      <c r="B311" s="3" t="s">
        <v>1729</v>
      </c>
      <c r="C311" s="3" t="s">
        <v>1362</v>
      </c>
      <c r="D311" s="3" t="s">
        <v>1366</v>
      </c>
      <c r="E311" s="3" t="s">
        <v>1730</v>
      </c>
      <c r="F311" s="3" t="s">
        <v>1726</v>
      </c>
    </row>
    <row r="312" spans="1:6" ht="66" customHeight="1">
      <c r="A312" s="3" t="s">
        <v>1669</v>
      </c>
      <c r="B312" s="3" t="s">
        <v>1731</v>
      </c>
      <c r="C312" s="3" t="s">
        <v>1362</v>
      </c>
      <c r="D312" s="3" t="s">
        <v>1366</v>
      </c>
      <c r="E312" s="3" t="s">
        <v>1732</v>
      </c>
      <c r="F312" s="3" t="s">
        <v>1733</v>
      </c>
    </row>
    <row r="313" spans="1:6" ht="66" customHeight="1">
      <c r="A313" s="3" t="s">
        <v>1669</v>
      </c>
      <c r="B313" s="3" t="s">
        <v>163</v>
      </c>
      <c r="C313" s="3" t="s">
        <v>1359</v>
      </c>
      <c r="D313" s="3" t="s">
        <v>1672</v>
      </c>
      <c r="E313" s="3" t="s">
        <v>158</v>
      </c>
      <c r="F313" s="3" t="s">
        <v>160</v>
      </c>
    </row>
    <row r="314" spans="1:6" ht="66" customHeight="1">
      <c r="A314" s="3" t="s">
        <v>1669</v>
      </c>
      <c r="B314" s="3" t="s">
        <v>1734</v>
      </c>
      <c r="C314" s="3" t="s">
        <v>1362</v>
      </c>
      <c r="D314" s="3" t="s">
        <v>1366</v>
      </c>
      <c r="E314" s="3" t="s">
        <v>1735</v>
      </c>
      <c r="F314" s="3" t="s">
        <v>1736</v>
      </c>
    </row>
    <row r="315" spans="1:6" ht="66" customHeight="1">
      <c r="A315" s="3" t="s">
        <v>1669</v>
      </c>
      <c r="B315" s="3" t="s">
        <v>1737</v>
      </c>
      <c r="C315" s="3" t="s">
        <v>1362</v>
      </c>
      <c r="D315" s="3" t="s">
        <v>1366</v>
      </c>
      <c r="E315" s="3" t="s">
        <v>1738</v>
      </c>
      <c r="F315" s="3" t="s">
        <v>1736</v>
      </c>
    </row>
    <row r="316" spans="1:6" ht="66" customHeight="1">
      <c r="A316" s="3" t="s">
        <v>1669</v>
      </c>
      <c r="B316" s="3" t="s">
        <v>1739</v>
      </c>
      <c r="C316" s="3" t="s">
        <v>1362</v>
      </c>
      <c r="D316" s="3" t="s">
        <v>1366</v>
      </c>
      <c r="E316" s="3" t="s">
        <v>1740</v>
      </c>
      <c r="F316" s="3" t="s">
        <v>1736</v>
      </c>
    </row>
    <row r="317" spans="1:6" ht="66" customHeight="1">
      <c r="A317" s="3" t="s">
        <v>1669</v>
      </c>
      <c r="B317" s="3" t="s">
        <v>168</v>
      </c>
      <c r="C317" s="3" t="s">
        <v>1359</v>
      </c>
      <c r="D317" s="3" t="s">
        <v>1672</v>
      </c>
      <c r="E317" s="3" t="s">
        <v>165</v>
      </c>
      <c r="F317" s="3" t="s">
        <v>167</v>
      </c>
    </row>
    <row r="318" spans="1:6" ht="66" customHeight="1">
      <c r="A318" s="3" t="s">
        <v>1669</v>
      </c>
      <c r="B318" s="3" t="s">
        <v>1741</v>
      </c>
      <c r="C318" s="3" t="s">
        <v>1362</v>
      </c>
      <c r="D318" s="3" t="s">
        <v>1366</v>
      </c>
      <c r="E318" s="3" t="s">
        <v>1742</v>
      </c>
      <c r="F318" s="3" t="s">
        <v>1743</v>
      </c>
    </row>
    <row r="319" spans="1:6" ht="66" customHeight="1">
      <c r="A319" s="3" t="s">
        <v>1669</v>
      </c>
      <c r="B319" s="3" t="s">
        <v>174</v>
      </c>
      <c r="C319" s="3" t="s">
        <v>1359</v>
      </c>
      <c r="D319" s="3" t="s">
        <v>1672</v>
      </c>
      <c r="E319" s="3" t="s">
        <v>170</v>
      </c>
      <c r="F319" s="3" t="s">
        <v>172</v>
      </c>
    </row>
    <row r="320" spans="1:6" ht="66" customHeight="1">
      <c r="A320" s="3" t="s">
        <v>1669</v>
      </c>
      <c r="B320" s="3" t="s">
        <v>179</v>
      </c>
      <c r="C320" s="3" t="s">
        <v>1359</v>
      </c>
      <c r="D320" s="3" t="s">
        <v>1672</v>
      </c>
      <c r="E320" s="3" t="s">
        <v>176</v>
      </c>
      <c r="F320" s="3" t="s">
        <v>178</v>
      </c>
    </row>
    <row r="321" spans="1:6" ht="66" customHeight="1">
      <c r="A321" s="3" t="s">
        <v>1669</v>
      </c>
      <c r="B321" s="3" t="s">
        <v>1744</v>
      </c>
      <c r="C321" s="3" t="s">
        <v>1362</v>
      </c>
      <c r="D321" s="3" t="s">
        <v>1366</v>
      </c>
      <c r="E321" s="3" t="s">
        <v>1745</v>
      </c>
      <c r="F321" s="3" t="s">
        <v>1746</v>
      </c>
    </row>
    <row r="322" spans="1:6" ht="66" customHeight="1">
      <c r="A322" s="3" t="s">
        <v>1669</v>
      </c>
      <c r="B322" s="3" t="s">
        <v>1747</v>
      </c>
      <c r="C322" s="3" t="s">
        <v>1362</v>
      </c>
      <c r="D322" s="3" t="s">
        <v>1366</v>
      </c>
      <c r="E322" s="3" t="s">
        <v>1748</v>
      </c>
      <c r="F322" s="3" t="s">
        <v>178</v>
      </c>
    </row>
    <row r="323" spans="1:6" ht="66" customHeight="1">
      <c r="A323" s="3" t="s">
        <v>1669</v>
      </c>
      <c r="B323" s="3" t="s">
        <v>184</v>
      </c>
      <c r="C323" s="3" t="s">
        <v>1359</v>
      </c>
      <c r="D323" s="3" t="s">
        <v>1672</v>
      </c>
      <c r="E323" s="3" t="s">
        <v>183</v>
      </c>
      <c r="F323" s="3" t="s">
        <v>178</v>
      </c>
    </row>
    <row r="324" spans="1:6" ht="66" customHeight="1">
      <c r="A324" s="3" t="s">
        <v>1669</v>
      </c>
      <c r="B324" s="3" t="s">
        <v>1749</v>
      </c>
      <c r="C324" s="3" t="s">
        <v>1362</v>
      </c>
      <c r="D324" s="3" t="s">
        <v>1366</v>
      </c>
      <c r="E324" s="3" t="s">
        <v>1750</v>
      </c>
      <c r="F324" s="3" t="s">
        <v>1751</v>
      </c>
    </row>
    <row r="325" spans="1:6" ht="66" customHeight="1">
      <c r="A325" s="3" t="s">
        <v>1669</v>
      </c>
      <c r="B325" s="3" t="s">
        <v>189</v>
      </c>
      <c r="C325" s="3" t="s">
        <v>1359</v>
      </c>
      <c r="D325" s="3" t="s">
        <v>1672</v>
      </c>
      <c r="E325" s="3" t="s">
        <v>186</v>
      </c>
      <c r="F325" s="3" t="s">
        <v>188</v>
      </c>
    </row>
    <row r="326" spans="1:6" ht="66" customHeight="1">
      <c r="A326" s="3" t="s">
        <v>1669</v>
      </c>
      <c r="B326" s="3" t="s">
        <v>1752</v>
      </c>
      <c r="C326" s="3" t="s">
        <v>1362</v>
      </c>
      <c r="D326" s="3" t="s">
        <v>1366</v>
      </c>
      <c r="E326" s="3" t="s">
        <v>1753</v>
      </c>
      <c r="F326" s="3" t="s">
        <v>1754</v>
      </c>
    </row>
    <row r="327" spans="1:6" ht="66" customHeight="1">
      <c r="A327" s="3" t="s">
        <v>1669</v>
      </c>
      <c r="B327" s="3" t="s">
        <v>1755</v>
      </c>
      <c r="C327" s="3" t="s">
        <v>1362</v>
      </c>
      <c r="D327" s="3" t="s">
        <v>1366</v>
      </c>
      <c r="E327" s="3" t="s">
        <v>1756</v>
      </c>
      <c r="F327" s="3" t="s">
        <v>1757</v>
      </c>
    </row>
    <row r="328" spans="1:6" ht="66" customHeight="1">
      <c r="A328" s="3" t="s">
        <v>1669</v>
      </c>
      <c r="B328" s="3" t="s">
        <v>1758</v>
      </c>
      <c r="C328" s="3" t="s">
        <v>1362</v>
      </c>
      <c r="D328" s="3" t="s">
        <v>1366</v>
      </c>
      <c r="E328" s="3" t="s">
        <v>1759</v>
      </c>
      <c r="F328" s="3" t="s">
        <v>1760</v>
      </c>
    </row>
    <row r="329" spans="1:6" ht="66" customHeight="1">
      <c r="A329" s="3" t="s">
        <v>1669</v>
      </c>
      <c r="B329" s="3" t="s">
        <v>194</v>
      </c>
      <c r="C329" s="3" t="s">
        <v>1359</v>
      </c>
      <c r="D329" s="3" t="s">
        <v>1672</v>
      </c>
      <c r="E329" s="3" t="s">
        <v>191</v>
      </c>
      <c r="F329" s="3" t="s">
        <v>193</v>
      </c>
    </row>
    <row r="330" spans="1:6" ht="66" customHeight="1">
      <c r="A330" s="3" t="s">
        <v>1669</v>
      </c>
      <c r="B330" s="3" t="s">
        <v>1761</v>
      </c>
      <c r="C330" s="3" t="s">
        <v>1762</v>
      </c>
      <c r="D330" s="3" t="s">
        <v>1763</v>
      </c>
      <c r="E330" s="3" t="s">
        <v>196</v>
      </c>
      <c r="F330" s="3" t="s">
        <v>198</v>
      </c>
    </row>
    <row r="331" spans="1:6" ht="66" customHeight="1">
      <c r="A331" s="3" t="s">
        <v>1669</v>
      </c>
      <c r="B331" s="3" t="s">
        <v>1764</v>
      </c>
      <c r="C331" s="3" t="s">
        <v>1362</v>
      </c>
      <c r="D331" s="3" t="s">
        <v>1366</v>
      </c>
      <c r="E331" s="3" t="s">
        <v>1765</v>
      </c>
      <c r="F331" s="3" t="s">
        <v>198</v>
      </c>
    </row>
    <row r="332" spans="1:6" ht="66" customHeight="1">
      <c r="A332" s="3" t="s">
        <v>1669</v>
      </c>
      <c r="B332" s="3" t="s">
        <v>1766</v>
      </c>
      <c r="C332" s="3" t="s">
        <v>1362</v>
      </c>
      <c r="D332" s="3" t="s">
        <v>1366</v>
      </c>
      <c r="E332" s="3" t="s">
        <v>1367</v>
      </c>
      <c r="F332" s="3" t="s">
        <v>207</v>
      </c>
    </row>
    <row r="333" spans="1:6" ht="66" customHeight="1">
      <c r="A333" s="3" t="s">
        <v>1669</v>
      </c>
      <c r="B333" s="3" t="s">
        <v>208</v>
      </c>
      <c r="C333" s="3" t="s">
        <v>1359</v>
      </c>
      <c r="D333" s="3" t="s">
        <v>1672</v>
      </c>
      <c r="E333" s="3" t="s">
        <v>206</v>
      </c>
      <c r="F333" s="3" t="s">
        <v>207</v>
      </c>
    </row>
    <row r="334" spans="1:6" ht="66" customHeight="1">
      <c r="A334" s="3" t="s">
        <v>1669</v>
      </c>
      <c r="B334" s="3" t="s">
        <v>1767</v>
      </c>
      <c r="C334" s="3" t="s">
        <v>1362</v>
      </c>
      <c r="D334" s="3" t="s">
        <v>1366</v>
      </c>
      <c r="E334" s="3" t="s">
        <v>1768</v>
      </c>
      <c r="F334" s="3" t="s">
        <v>1769</v>
      </c>
    </row>
    <row r="335" spans="1:6" ht="66" customHeight="1">
      <c r="A335" s="3" t="s">
        <v>1669</v>
      </c>
      <c r="B335" s="3" t="s">
        <v>1770</v>
      </c>
      <c r="C335" s="3" t="s">
        <v>1762</v>
      </c>
      <c r="D335" s="3" t="s">
        <v>1771</v>
      </c>
      <c r="E335" s="3" t="s">
        <v>1772</v>
      </c>
      <c r="F335" s="3" t="s">
        <v>1773</v>
      </c>
    </row>
    <row r="336" spans="1:6" ht="66" customHeight="1">
      <c r="A336" s="3" t="s">
        <v>1669</v>
      </c>
      <c r="B336" s="3" t="s">
        <v>1774</v>
      </c>
      <c r="C336" s="3" t="s">
        <v>1362</v>
      </c>
      <c r="D336" s="3" t="s">
        <v>1366</v>
      </c>
      <c r="E336" s="3" t="s">
        <v>1775</v>
      </c>
      <c r="F336" s="3" t="s">
        <v>1776</v>
      </c>
    </row>
    <row r="337" spans="1:6" ht="66" customHeight="1">
      <c r="A337" s="3" t="s">
        <v>1669</v>
      </c>
      <c r="B337" s="3" t="s">
        <v>1777</v>
      </c>
      <c r="C337" s="3" t="s">
        <v>1762</v>
      </c>
      <c r="D337" s="3" t="s">
        <v>1778</v>
      </c>
      <c r="E337" s="3" t="s">
        <v>1779</v>
      </c>
      <c r="F337" s="3" t="s">
        <v>218</v>
      </c>
    </row>
    <row r="338" spans="1:6" ht="66" customHeight="1">
      <c r="A338" s="3" t="s">
        <v>1669</v>
      </c>
      <c r="B338" s="3" t="s">
        <v>1780</v>
      </c>
      <c r="C338" s="3" t="s">
        <v>1762</v>
      </c>
      <c r="D338" s="3" t="s">
        <v>1781</v>
      </c>
      <c r="E338" s="3" t="s">
        <v>1782</v>
      </c>
      <c r="F338" s="3" t="s">
        <v>1783</v>
      </c>
    </row>
    <row r="339" spans="1:6" ht="66" customHeight="1">
      <c r="A339" s="3" t="s">
        <v>1669</v>
      </c>
      <c r="B339" s="3" t="s">
        <v>1784</v>
      </c>
      <c r="C339" s="3" t="s">
        <v>1362</v>
      </c>
      <c r="D339" s="3" t="s">
        <v>1366</v>
      </c>
      <c r="E339" s="3" t="s">
        <v>1785</v>
      </c>
      <c r="F339" s="3" t="s">
        <v>1786</v>
      </c>
    </row>
    <row r="340" spans="1:6" ht="66" customHeight="1">
      <c r="A340" s="3" t="s">
        <v>1669</v>
      </c>
      <c r="B340" s="3" t="s">
        <v>229</v>
      </c>
      <c r="C340" s="3" t="s">
        <v>1359</v>
      </c>
      <c r="D340" s="3" t="s">
        <v>1672</v>
      </c>
      <c r="E340" s="3" t="s">
        <v>226</v>
      </c>
      <c r="F340" s="3" t="s">
        <v>228</v>
      </c>
    </row>
    <row r="341" spans="1:6" ht="66" customHeight="1">
      <c r="A341" s="3" t="s">
        <v>1669</v>
      </c>
      <c r="B341" s="3" t="s">
        <v>1787</v>
      </c>
      <c r="C341" s="3" t="s">
        <v>1362</v>
      </c>
      <c r="D341" s="3" t="s">
        <v>1366</v>
      </c>
      <c r="E341" s="3" t="s">
        <v>1788</v>
      </c>
      <c r="F341" s="3" t="s">
        <v>1374</v>
      </c>
    </row>
    <row r="342" spans="1:6" ht="66" customHeight="1">
      <c r="A342" s="3" t="s">
        <v>1669</v>
      </c>
      <c r="B342" s="3" t="s">
        <v>1789</v>
      </c>
      <c r="C342" s="3" t="s">
        <v>1362</v>
      </c>
      <c r="D342" s="3" t="s">
        <v>1366</v>
      </c>
      <c r="E342" s="3" t="s">
        <v>1790</v>
      </c>
      <c r="F342" s="3" t="s">
        <v>1791</v>
      </c>
    </row>
    <row r="343" spans="1:6" ht="66" customHeight="1">
      <c r="A343" s="3" t="s">
        <v>1669</v>
      </c>
      <c r="B343" s="3" t="s">
        <v>1792</v>
      </c>
      <c r="C343" s="3" t="s">
        <v>1362</v>
      </c>
      <c r="D343" s="3" t="s">
        <v>1366</v>
      </c>
      <c r="E343" s="3" t="s">
        <v>1793</v>
      </c>
      <c r="F343" s="3" t="s">
        <v>1791</v>
      </c>
    </row>
    <row r="344" spans="1:6" ht="66" customHeight="1">
      <c r="A344" s="3" t="s">
        <v>1669</v>
      </c>
      <c r="B344" s="3" t="s">
        <v>1794</v>
      </c>
      <c r="C344" s="3" t="s">
        <v>1762</v>
      </c>
      <c r="D344" s="3" t="s">
        <v>1795</v>
      </c>
      <c r="E344" s="3" t="s">
        <v>233</v>
      </c>
      <c r="F344" s="3" t="s">
        <v>1796</v>
      </c>
    </row>
    <row r="345" spans="1:6" ht="66" customHeight="1">
      <c r="A345" s="3" t="s">
        <v>1669</v>
      </c>
      <c r="B345" s="3" t="s">
        <v>1797</v>
      </c>
      <c r="C345" s="3" t="s">
        <v>1362</v>
      </c>
      <c r="D345" s="3" t="s">
        <v>1366</v>
      </c>
      <c r="E345" s="3" t="s">
        <v>1378</v>
      </c>
      <c r="F345" s="3" t="s">
        <v>1379</v>
      </c>
    </row>
    <row r="346" spans="1:6" ht="66" customHeight="1">
      <c r="A346" s="3" t="s">
        <v>1669</v>
      </c>
      <c r="B346" s="3" t="s">
        <v>1798</v>
      </c>
      <c r="C346" s="3" t="s">
        <v>1362</v>
      </c>
      <c r="D346" s="3" t="s">
        <v>1366</v>
      </c>
      <c r="E346" s="3" t="s">
        <v>1381</v>
      </c>
      <c r="F346" s="3" t="s">
        <v>1799</v>
      </c>
    </row>
    <row r="347" spans="1:6" ht="66" customHeight="1">
      <c r="A347" s="3" t="s">
        <v>1669</v>
      </c>
      <c r="B347" s="3" t="s">
        <v>1800</v>
      </c>
      <c r="C347" s="3" t="s">
        <v>1362</v>
      </c>
      <c r="D347" s="3" t="s">
        <v>1366</v>
      </c>
      <c r="E347" s="3" t="s">
        <v>1801</v>
      </c>
      <c r="F347" s="3" t="s">
        <v>1802</v>
      </c>
    </row>
    <row r="348" spans="1:6" ht="66" customHeight="1">
      <c r="A348" s="3" t="s">
        <v>1669</v>
      </c>
      <c r="B348" s="3" t="s">
        <v>1803</v>
      </c>
      <c r="C348" s="3" t="s">
        <v>1762</v>
      </c>
      <c r="D348" s="3" t="s">
        <v>1804</v>
      </c>
      <c r="E348" s="3" t="s">
        <v>1805</v>
      </c>
      <c r="F348" s="3" t="s">
        <v>1806</v>
      </c>
    </row>
    <row r="349" spans="1:6" ht="66" customHeight="1">
      <c r="A349" s="3" t="s">
        <v>1669</v>
      </c>
      <c r="B349" s="3" t="s">
        <v>1807</v>
      </c>
      <c r="C349" s="3" t="s">
        <v>1762</v>
      </c>
      <c r="D349" s="3" t="s">
        <v>1808</v>
      </c>
      <c r="E349" s="3" t="s">
        <v>249</v>
      </c>
      <c r="F349" s="3" t="s">
        <v>246</v>
      </c>
    </row>
    <row r="350" spans="1:6" ht="66" customHeight="1">
      <c r="A350" s="3" t="s">
        <v>1669</v>
      </c>
      <c r="B350" s="3" t="s">
        <v>1809</v>
      </c>
      <c r="C350" s="3" t="s">
        <v>1762</v>
      </c>
      <c r="D350" s="3" t="s">
        <v>1810</v>
      </c>
      <c r="E350" s="3" t="s">
        <v>244</v>
      </c>
      <c r="F350" s="3" t="s">
        <v>246</v>
      </c>
    </row>
    <row r="351" spans="1:6" ht="66" customHeight="1">
      <c r="A351" s="3" t="s">
        <v>1669</v>
      </c>
      <c r="B351" s="3" t="s">
        <v>1811</v>
      </c>
      <c r="C351" s="3" t="s">
        <v>1762</v>
      </c>
      <c r="D351" s="3" t="s">
        <v>1812</v>
      </c>
      <c r="E351" s="3" t="s">
        <v>253</v>
      </c>
      <c r="F351" s="3" t="s">
        <v>246</v>
      </c>
    </row>
    <row r="352" spans="1:6" ht="66" customHeight="1">
      <c r="A352" s="3" t="s">
        <v>1669</v>
      </c>
      <c r="B352" s="3" t="s">
        <v>1813</v>
      </c>
      <c r="C352" s="3" t="s">
        <v>1362</v>
      </c>
      <c r="D352" s="3" t="s">
        <v>1366</v>
      </c>
      <c r="E352" s="3" t="s">
        <v>1814</v>
      </c>
      <c r="F352" s="3" t="s">
        <v>246</v>
      </c>
    </row>
    <row r="353" spans="1:6" ht="66" customHeight="1">
      <c r="A353" s="3" t="s">
        <v>1669</v>
      </c>
      <c r="B353" s="3" t="s">
        <v>1815</v>
      </c>
      <c r="C353" s="3" t="s">
        <v>1762</v>
      </c>
      <c r="D353" s="3" t="s">
        <v>1816</v>
      </c>
      <c r="E353" s="3" t="s">
        <v>259</v>
      </c>
      <c r="F353" s="3" t="s">
        <v>260</v>
      </c>
    </row>
    <row r="354" spans="1:6" ht="66" customHeight="1">
      <c r="A354" s="3" t="s">
        <v>1669</v>
      </c>
      <c r="B354" s="3" t="s">
        <v>266</v>
      </c>
      <c r="C354" s="3" t="s">
        <v>1359</v>
      </c>
      <c r="D354" s="3" t="s">
        <v>1672</v>
      </c>
      <c r="E354" s="3" t="s">
        <v>265</v>
      </c>
      <c r="F354" s="3" t="s">
        <v>260</v>
      </c>
    </row>
    <row r="355" spans="1:6" ht="66" customHeight="1">
      <c r="A355" s="3" t="s">
        <v>1669</v>
      </c>
      <c r="B355" s="3" t="s">
        <v>1817</v>
      </c>
      <c r="C355" s="3" t="s">
        <v>1762</v>
      </c>
      <c r="D355" s="3" t="s">
        <v>1818</v>
      </c>
      <c r="E355" s="3" t="s">
        <v>268</v>
      </c>
      <c r="F355" s="3" t="s">
        <v>280</v>
      </c>
    </row>
    <row r="356" spans="1:6" ht="66" customHeight="1">
      <c r="A356" s="3" t="s">
        <v>1669</v>
      </c>
      <c r="B356" s="3" t="s">
        <v>276</v>
      </c>
      <c r="C356" s="3" t="s">
        <v>1359</v>
      </c>
      <c r="D356" s="3" t="s">
        <v>1672</v>
      </c>
      <c r="E356" s="3" t="s">
        <v>273</v>
      </c>
      <c r="F356" s="3" t="s">
        <v>270</v>
      </c>
    </row>
    <row r="357" spans="1:6" ht="66" customHeight="1">
      <c r="A357" s="3" t="s">
        <v>1669</v>
      </c>
      <c r="B357" s="3" t="s">
        <v>282</v>
      </c>
      <c r="C357" s="3" t="s">
        <v>1359</v>
      </c>
      <c r="D357" s="3" t="s">
        <v>1672</v>
      </c>
      <c r="E357" s="3" t="s">
        <v>278</v>
      </c>
      <c r="F357" s="3" t="s">
        <v>280</v>
      </c>
    </row>
    <row r="358" spans="1:6" ht="66" customHeight="1">
      <c r="A358" s="3" t="s">
        <v>1669</v>
      </c>
      <c r="B358" s="3" t="s">
        <v>1819</v>
      </c>
      <c r="C358" s="3" t="s">
        <v>1762</v>
      </c>
      <c r="D358" s="3" t="s">
        <v>1820</v>
      </c>
      <c r="E358" s="3" t="s">
        <v>284</v>
      </c>
      <c r="F358" s="3" t="s">
        <v>286</v>
      </c>
    </row>
    <row r="359" spans="1:6" ht="66" customHeight="1">
      <c r="A359" s="3" t="s">
        <v>1669</v>
      </c>
      <c r="B359" s="3" t="s">
        <v>1821</v>
      </c>
      <c r="C359" s="3" t="s">
        <v>1762</v>
      </c>
      <c r="D359" s="3" t="s">
        <v>1822</v>
      </c>
      <c r="E359" s="3" t="s">
        <v>294</v>
      </c>
      <c r="F359" s="3" t="s">
        <v>286</v>
      </c>
    </row>
    <row r="360" spans="1:6" ht="66" customHeight="1">
      <c r="A360" s="3" t="s">
        <v>1669</v>
      </c>
      <c r="B360" s="3" t="s">
        <v>1823</v>
      </c>
      <c r="C360" s="3" t="s">
        <v>1762</v>
      </c>
      <c r="D360" s="3" t="s">
        <v>1824</v>
      </c>
      <c r="E360" s="3" t="s">
        <v>1825</v>
      </c>
      <c r="F360" s="3" t="s">
        <v>286</v>
      </c>
    </row>
    <row r="361" spans="1:6" ht="66" customHeight="1">
      <c r="A361" s="3" t="s">
        <v>1669</v>
      </c>
      <c r="B361" s="3" t="s">
        <v>1826</v>
      </c>
      <c r="C361" s="3" t="s">
        <v>1362</v>
      </c>
      <c r="D361" s="3" t="s">
        <v>1366</v>
      </c>
      <c r="E361" s="3" t="s">
        <v>1827</v>
      </c>
      <c r="F361" s="3" t="s">
        <v>303</v>
      </c>
    </row>
    <row r="362" spans="1:6" ht="66" customHeight="1">
      <c r="A362" s="3" t="s">
        <v>1669</v>
      </c>
      <c r="B362" s="3" t="s">
        <v>1828</v>
      </c>
      <c r="C362" s="3" t="s">
        <v>1362</v>
      </c>
      <c r="D362" s="3" t="s">
        <v>1366</v>
      </c>
      <c r="E362" s="3" t="s">
        <v>1829</v>
      </c>
      <c r="F362" s="3" t="s">
        <v>303</v>
      </c>
    </row>
    <row r="363" spans="1:6" ht="66" customHeight="1">
      <c r="A363" s="3" t="s">
        <v>1669</v>
      </c>
      <c r="B363" s="3" t="s">
        <v>1830</v>
      </c>
      <c r="C363" s="3" t="s">
        <v>1762</v>
      </c>
      <c r="D363" s="3" t="s">
        <v>1831</v>
      </c>
      <c r="E363" s="3" t="s">
        <v>306</v>
      </c>
      <c r="F363" s="3" t="s">
        <v>308</v>
      </c>
    </row>
    <row r="364" spans="1:6" ht="66" customHeight="1">
      <c r="A364" s="3" t="s">
        <v>1669</v>
      </c>
      <c r="B364" s="3" t="s">
        <v>1832</v>
      </c>
      <c r="C364" s="3" t="s">
        <v>1762</v>
      </c>
      <c r="D364" s="3" t="s">
        <v>1833</v>
      </c>
      <c r="E364" s="3" t="s">
        <v>311</v>
      </c>
      <c r="F364" s="3" t="s">
        <v>313</v>
      </c>
    </row>
    <row r="365" spans="1:6" ht="66" customHeight="1">
      <c r="A365" s="3" t="s">
        <v>1669</v>
      </c>
      <c r="B365" s="3" t="s">
        <v>320</v>
      </c>
      <c r="C365" s="3" t="s">
        <v>1359</v>
      </c>
      <c r="D365" s="3" t="s">
        <v>1672</v>
      </c>
      <c r="E365" s="3" t="s">
        <v>318</v>
      </c>
      <c r="F365" s="3" t="s">
        <v>313</v>
      </c>
    </row>
    <row r="366" spans="1:6" ht="66" customHeight="1">
      <c r="A366" s="3" t="s">
        <v>1669</v>
      </c>
      <c r="B366" s="3" t="s">
        <v>1834</v>
      </c>
      <c r="C366" s="3" t="s">
        <v>1762</v>
      </c>
      <c r="D366" s="3" t="s">
        <v>1835</v>
      </c>
      <c r="E366" s="3" t="s">
        <v>322</v>
      </c>
      <c r="F366" s="3" t="s">
        <v>1836</v>
      </c>
    </row>
    <row r="367" spans="1:6" ht="66" customHeight="1">
      <c r="A367" s="3" t="s">
        <v>1669</v>
      </c>
      <c r="B367" s="3" t="s">
        <v>1837</v>
      </c>
      <c r="C367" s="3" t="s">
        <v>1362</v>
      </c>
      <c r="D367" s="3" t="s">
        <v>1366</v>
      </c>
      <c r="E367" s="3" t="s">
        <v>1838</v>
      </c>
      <c r="F367" s="3" t="s">
        <v>1839</v>
      </c>
    </row>
    <row r="368" spans="1:6" ht="66" customHeight="1">
      <c r="A368" s="3" t="s">
        <v>1669</v>
      </c>
      <c r="B368" s="3" t="s">
        <v>1840</v>
      </c>
      <c r="C368" s="3" t="s">
        <v>1762</v>
      </c>
      <c r="D368" s="3" t="s">
        <v>1841</v>
      </c>
      <c r="E368" s="3" t="s">
        <v>1842</v>
      </c>
      <c r="F368" s="3" t="s">
        <v>329</v>
      </c>
    </row>
    <row r="369" spans="1:6" ht="66" customHeight="1">
      <c r="A369" s="3" t="s">
        <v>1669</v>
      </c>
      <c r="B369" s="3" t="s">
        <v>1843</v>
      </c>
      <c r="C369" s="3" t="s">
        <v>1762</v>
      </c>
      <c r="D369" s="3" t="s">
        <v>1844</v>
      </c>
      <c r="E369" s="3" t="s">
        <v>327</v>
      </c>
      <c r="F369" s="3" t="s">
        <v>329</v>
      </c>
    </row>
    <row r="370" spans="1:6" ht="66" customHeight="1">
      <c r="A370" s="3" t="s">
        <v>1669</v>
      </c>
      <c r="B370" s="3" t="s">
        <v>1845</v>
      </c>
      <c r="C370" s="3" t="s">
        <v>1762</v>
      </c>
      <c r="D370" s="3" t="s">
        <v>1846</v>
      </c>
      <c r="E370" s="3" t="s">
        <v>336</v>
      </c>
      <c r="F370" s="3" t="s">
        <v>1847</v>
      </c>
    </row>
    <row r="371" spans="1:6" ht="66" customHeight="1">
      <c r="A371" s="3" t="s">
        <v>1669</v>
      </c>
      <c r="B371" s="3" t="s">
        <v>1848</v>
      </c>
      <c r="C371" s="3" t="s">
        <v>1762</v>
      </c>
      <c r="D371" s="3" t="s">
        <v>1849</v>
      </c>
      <c r="E371" s="3" t="s">
        <v>341</v>
      </c>
      <c r="F371" s="3" t="s">
        <v>1850</v>
      </c>
    </row>
    <row r="372" spans="1:6" ht="66" customHeight="1">
      <c r="A372" s="3" t="s">
        <v>1669</v>
      </c>
      <c r="B372" s="3" t="s">
        <v>1851</v>
      </c>
      <c r="C372" s="3" t="s">
        <v>1362</v>
      </c>
      <c r="D372" s="3" t="s">
        <v>1852</v>
      </c>
      <c r="E372" s="3" t="s">
        <v>1385</v>
      </c>
      <c r="F372" s="3" t="s">
        <v>348</v>
      </c>
    </row>
    <row r="373" spans="1:6" ht="66" customHeight="1">
      <c r="A373" s="3" t="s">
        <v>1669</v>
      </c>
      <c r="B373" s="3" t="s">
        <v>1853</v>
      </c>
      <c r="C373" s="3" t="s">
        <v>1762</v>
      </c>
      <c r="D373" s="3" t="s">
        <v>1854</v>
      </c>
      <c r="E373" s="3" t="s">
        <v>346</v>
      </c>
      <c r="F373" s="3" t="s">
        <v>348</v>
      </c>
    </row>
    <row r="374" spans="1:6" ht="66" customHeight="1">
      <c r="A374" s="3" t="s">
        <v>1669</v>
      </c>
      <c r="B374" s="3" t="s">
        <v>1855</v>
      </c>
      <c r="C374" s="3" t="s">
        <v>1362</v>
      </c>
      <c r="D374" s="3" t="s">
        <v>1366</v>
      </c>
      <c r="E374" s="3" t="s">
        <v>351</v>
      </c>
      <c r="F374" s="3" t="s">
        <v>353</v>
      </c>
    </row>
    <row r="375" spans="1:6" ht="66" customHeight="1">
      <c r="A375" s="3" t="s">
        <v>1669</v>
      </c>
      <c r="B375" s="3" t="s">
        <v>358</v>
      </c>
      <c r="C375" s="3" t="s">
        <v>1359</v>
      </c>
      <c r="D375" s="3" t="s">
        <v>1672</v>
      </c>
      <c r="E375" s="3" t="s">
        <v>356</v>
      </c>
      <c r="F375" s="3" t="s">
        <v>353</v>
      </c>
    </row>
    <row r="376" spans="1:6" ht="66" customHeight="1">
      <c r="A376" s="3" t="s">
        <v>1669</v>
      </c>
      <c r="B376" s="3" t="s">
        <v>1856</v>
      </c>
      <c r="C376" s="3" t="s">
        <v>1762</v>
      </c>
      <c r="D376" s="3" t="s">
        <v>1857</v>
      </c>
      <c r="E376" s="3" t="s">
        <v>360</v>
      </c>
      <c r="F376" s="3" t="s">
        <v>1858</v>
      </c>
    </row>
    <row r="377" spans="1:6" ht="66" customHeight="1">
      <c r="A377" s="3" t="s">
        <v>1669</v>
      </c>
      <c r="B377" s="3" t="s">
        <v>1859</v>
      </c>
      <c r="C377" s="3" t="s">
        <v>1362</v>
      </c>
      <c r="D377" s="3" t="s">
        <v>1366</v>
      </c>
      <c r="E377" s="3" t="s">
        <v>1860</v>
      </c>
      <c r="F377" s="3" t="s">
        <v>1389</v>
      </c>
    </row>
    <row r="378" spans="1:6" ht="66" customHeight="1">
      <c r="A378" s="3" t="s">
        <v>1669</v>
      </c>
      <c r="B378" s="3" t="s">
        <v>1861</v>
      </c>
      <c r="C378" s="3" t="s">
        <v>1362</v>
      </c>
      <c r="D378" s="3" t="s">
        <v>1363</v>
      </c>
      <c r="E378" s="3" t="s">
        <v>1388</v>
      </c>
      <c r="F378" s="3" t="s">
        <v>1389</v>
      </c>
    </row>
    <row r="379" spans="1:6" ht="66" customHeight="1">
      <c r="A379" s="3" t="s">
        <v>1669</v>
      </c>
      <c r="B379" s="3" t="s">
        <v>1862</v>
      </c>
      <c r="C379" s="3" t="s">
        <v>1762</v>
      </c>
      <c r="D379" s="3" t="s">
        <v>1863</v>
      </c>
      <c r="E379" s="3" t="s">
        <v>1864</v>
      </c>
      <c r="F379" s="3" t="s">
        <v>1865</v>
      </c>
    </row>
    <row r="380" spans="1:6" ht="66" customHeight="1">
      <c r="A380" s="3" t="s">
        <v>1669</v>
      </c>
      <c r="B380" s="3" t="s">
        <v>1866</v>
      </c>
      <c r="C380" s="3" t="s">
        <v>1762</v>
      </c>
      <c r="D380" s="3" t="s">
        <v>1867</v>
      </c>
      <c r="E380" s="3" t="s">
        <v>373</v>
      </c>
      <c r="F380" s="3" t="s">
        <v>1868</v>
      </c>
    </row>
    <row r="381" spans="1:6" ht="66" customHeight="1">
      <c r="A381" s="3" t="s">
        <v>1669</v>
      </c>
      <c r="B381" s="3" t="s">
        <v>1869</v>
      </c>
      <c r="C381" s="3" t="s">
        <v>1362</v>
      </c>
      <c r="D381" s="3" t="s">
        <v>1363</v>
      </c>
      <c r="E381" s="3" t="s">
        <v>1391</v>
      </c>
      <c r="F381" s="3" t="s">
        <v>1392</v>
      </c>
    </row>
    <row r="382" spans="1:6" ht="66" customHeight="1">
      <c r="A382" s="3" t="s">
        <v>1669</v>
      </c>
      <c r="B382" s="3" t="s">
        <v>381</v>
      </c>
      <c r="C382" s="3" t="s">
        <v>1359</v>
      </c>
      <c r="D382" s="3" t="s">
        <v>1672</v>
      </c>
      <c r="E382" s="3" t="s">
        <v>378</v>
      </c>
      <c r="F382" s="3" t="s">
        <v>380</v>
      </c>
    </row>
    <row r="383" spans="1:6" ht="66" customHeight="1">
      <c r="A383" s="3" t="s">
        <v>1669</v>
      </c>
      <c r="B383" s="3" t="s">
        <v>1870</v>
      </c>
      <c r="C383" s="3" t="s">
        <v>1362</v>
      </c>
      <c r="D383" s="3" t="s">
        <v>1366</v>
      </c>
      <c r="E383" s="3" t="s">
        <v>1394</v>
      </c>
      <c r="F383" s="3" t="s">
        <v>1395</v>
      </c>
    </row>
    <row r="384" spans="1:6" ht="66" customHeight="1">
      <c r="A384" s="3" t="s">
        <v>1669</v>
      </c>
      <c r="B384" s="3" t="s">
        <v>386</v>
      </c>
      <c r="C384" s="3" t="s">
        <v>1359</v>
      </c>
      <c r="D384" s="3" t="s">
        <v>1672</v>
      </c>
      <c r="E384" s="3" t="s">
        <v>383</v>
      </c>
      <c r="F384" s="3" t="s">
        <v>385</v>
      </c>
    </row>
    <row r="385" spans="1:6" ht="66" customHeight="1">
      <c r="A385" s="3" t="s">
        <v>1669</v>
      </c>
      <c r="B385" s="3" t="s">
        <v>1871</v>
      </c>
      <c r="C385" s="3" t="s">
        <v>1762</v>
      </c>
      <c r="D385" s="3" t="s">
        <v>1872</v>
      </c>
      <c r="E385" s="3" t="s">
        <v>388</v>
      </c>
      <c r="F385" s="3" t="s">
        <v>390</v>
      </c>
    </row>
    <row r="386" spans="1:6" ht="66" customHeight="1">
      <c r="A386" s="3" t="s">
        <v>1669</v>
      </c>
      <c r="B386" s="3" t="s">
        <v>1873</v>
      </c>
      <c r="C386" s="3" t="s">
        <v>1362</v>
      </c>
      <c r="D386" s="3" t="s">
        <v>1366</v>
      </c>
      <c r="E386" s="3" t="s">
        <v>394</v>
      </c>
      <c r="F386" s="3" t="s">
        <v>1874</v>
      </c>
    </row>
    <row r="387" spans="1:6" ht="66" customHeight="1">
      <c r="A387" s="3" t="s">
        <v>1669</v>
      </c>
      <c r="B387" s="3" t="s">
        <v>400</v>
      </c>
      <c r="C387" s="3" t="s">
        <v>1359</v>
      </c>
      <c r="D387" s="3" t="s">
        <v>1672</v>
      </c>
      <c r="E387" s="3" t="s">
        <v>397</v>
      </c>
      <c r="F387" s="3" t="s">
        <v>399</v>
      </c>
    </row>
    <row r="388" spans="1:6" ht="66" customHeight="1">
      <c r="A388" s="3" t="s">
        <v>1669</v>
      </c>
      <c r="B388" s="3" t="s">
        <v>1875</v>
      </c>
      <c r="C388" s="3" t="s">
        <v>1362</v>
      </c>
      <c r="D388" s="3" t="s">
        <v>1366</v>
      </c>
      <c r="E388" s="3" t="s">
        <v>1876</v>
      </c>
      <c r="F388" s="3" t="s">
        <v>1877</v>
      </c>
    </row>
    <row r="389" spans="1:6" ht="66" customHeight="1">
      <c r="A389" s="3" t="s">
        <v>1669</v>
      </c>
      <c r="B389" s="3" t="s">
        <v>405</v>
      </c>
      <c r="C389" s="3" t="s">
        <v>1359</v>
      </c>
      <c r="D389" s="3" t="s">
        <v>1672</v>
      </c>
      <c r="E389" s="3" t="s">
        <v>402</v>
      </c>
      <c r="F389" s="3" t="s">
        <v>404</v>
      </c>
    </row>
    <row r="390" spans="1:6" ht="66" customHeight="1">
      <c r="A390" s="3" t="s">
        <v>1669</v>
      </c>
      <c r="B390" s="3" t="s">
        <v>1878</v>
      </c>
      <c r="C390" s="3" t="s">
        <v>1362</v>
      </c>
      <c r="D390" s="3" t="s">
        <v>1366</v>
      </c>
      <c r="E390" s="3" t="s">
        <v>1400</v>
      </c>
      <c r="F390" s="3" t="s">
        <v>404</v>
      </c>
    </row>
    <row r="391" spans="1:6" ht="66" customHeight="1">
      <c r="A391" s="3" t="s">
        <v>1669</v>
      </c>
      <c r="B391" s="3" t="s">
        <v>1879</v>
      </c>
      <c r="C391" s="3" t="s">
        <v>1362</v>
      </c>
      <c r="D391" s="3" t="s">
        <v>1366</v>
      </c>
      <c r="E391" s="3" t="s">
        <v>1880</v>
      </c>
      <c r="F391" s="3" t="s">
        <v>1404</v>
      </c>
    </row>
    <row r="392" spans="1:6" ht="66" customHeight="1">
      <c r="A392" s="3" t="s">
        <v>1669</v>
      </c>
      <c r="B392" s="3" t="s">
        <v>1881</v>
      </c>
      <c r="C392" s="3" t="s">
        <v>1362</v>
      </c>
      <c r="D392" s="3" t="s">
        <v>1852</v>
      </c>
      <c r="E392" s="3" t="s">
        <v>1882</v>
      </c>
      <c r="F392" s="3" t="s">
        <v>1407</v>
      </c>
    </row>
    <row r="393" spans="1:6" ht="66" customHeight="1">
      <c r="A393" s="3" t="s">
        <v>1669</v>
      </c>
      <c r="B393" s="3" t="s">
        <v>410</v>
      </c>
      <c r="C393" s="3" t="s">
        <v>1359</v>
      </c>
      <c r="D393" s="3" t="s">
        <v>1672</v>
      </c>
      <c r="E393" s="3" t="s">
        <v>407</v>
      </c>
      <c r="F393" s="3" t="s">
        <v>409</v>
      </c>
    </row>
    <row r="394" spans="1:6" ht="66" customHeight="1">
      <c r="A394" s="3" t="s">
        <v>1669</v>
      </c>
      <c r="B394" s="3" t="s">
        <v>1883</v>
      </c>
      <c r="C394" s="3" t="s">
        <v>1362</v>
      </c>
      <c r="D394" s="3" t="s">
        <v>1366</v>
      </c>
      <c r="E394" s="3" t="s">
        <v>1884</v>
      </c>
      <c r="F394" s="3" t="s">
        <v>1885</v>
      </c>
    </row>
    <row r="395" spans="1:6" ht="66" customHeight="1">
      <c r="A395" s="3" t="s">
        <v>1669</v>
      </c>
      <c r="B395" s="3" t="s">
        <v>1886</v>
      </c>
      <c r="C395" s="3" t="s">
        <v>1362</v>
      </c>
      <c r="D395" s="3" t="s">
        <v>1852</v>
      </c>
      <c r="E395" s="3" t="s">
        <v>1887</v>
      </c>
      <c r="F395" s="3" t="s">
        <v>1885</v>
      </c>
    </row>
    <row r="396" spans="1:6" ht="66" customHeight="1">
      <c r="A396" s="3" t="s">
        <v>1669</v>
      </c>
      <c r="B396" s="3" t="s">
        <v>1888</v>
      </c>
      <c r="C396" s="3" t="s">
        <v>1362</v>
      </c>
      <c r="D396" s="3" t="s">
        <v>1366</v>
      </c>
      <c r="E396" s="3" t="s">
        <v>1411</v>
      </c>
      <c r="F396" s="3" t="s">
        <v>1412</v>
      </c>
    </row>
    <row r="397" spans="1:6" ht="66" customHeight="1">
      <c r="A397" s="3" t="s">
        <v>1669</v>
      </c>
      <c r="B397" s="3" t="s">
        <v>1889</v>
      </c>
      <c r="C397" s="3" t="s">
        <v>1362</v>
      </c>
      <c r="D397" s="3" t="s">
        <v>1366</v>
      </c>
      <c r="E397" s="3" t="s">
        <v>1890</v>
      </c>
      <c r="F397" s="3" t="s">
        <v>1891</v>
      </c>
    </row>
    <row r="398" spans="1:6" ht="66" customHeight="1">
      <c r="A398" s="3" t="s">
        <v>1669</v>
      </c>
      <c r="B398" s="3" t="s">
        <v>420</v>
      </c>
      <c r="C398" s="3" t="s">
        <v>1359</v>
      </c>
      <c r="D398" s="3" t="s">
        <v>1672</v>
      </c>
      <c r="E398" s="3" t="s">
        <v>417</v>
      </c>
      <c r="F398" s="3" t="s">
        <v>419</v>
      </c>
    </row>
    <row r="399" spans="1:6" ht="66" customHeight="1">
      <c r="A399" s="3" t="s">
        <v>1669</v>
      </c>
      <c r="B399" s="3" t="s">
        <v>1892</v>
      </c>
      <c r="C399" s="3" t="s">
        <v>1362</v>
      </c>
      <c r="D399" s="3" t="s">
        <v>1366</v>
      </c>
      <c r="E399" s="3" t="s">
        <v>1415</v>
      </c>
      <c r="F399" s="3" t="s">
        <v>419</v>
      </c>
    </row>
    <row r="400" spans="1:6" ht="66" customHeight="1">
      <c r="A400" s="3" t="s">
        <v>1669</v>
      </c>
      <c r="B400" s="3" t="s">
        <v>1893</v>
      </c>
      <c r="C400" s="3" t="s">
        <v>1762</v>
      </c>
      <c r="D400" s="3" t="s">
        <v>1894</v>
      </c>
      <c r="E400" s="3" t="s">
        <v>412</v>
      </c>
      <c r="F400" s="3" t="s">
        <v>414</v>
      </c>
    </row>
    <row r="401" spans="1:6" ht="66" customHeight="1">
      <c r="A401" s="3" t="s">
        <v>1669</v>
      </c>
      <c r="B401" s="3" t="s">
        <v>1895</v>
      </c>
      <c r="C401" s="3" t="s">
        <v>1362</v>
      </c>
      <c r="D401" s="3" t="s">
        <v>1366</v>
      </c>
      <c r="E401" s="3" t="s">
        <v>1896</v>
      </c>
      <c r="F401" s="3" t="s">
        <v>1897</v>
      </c>
    </row>
    <row r="402" spans="1:6" ht="66" customHeight="1">
      <c r="A402" s="3" t="s">
        <v>1669</v>
      </c>
      <c r="B402" s="3" t="s">
        <v>1898</v>
      </c>
      <c r="C402" s="3" t="s">
        <v>1362</v>
      </c>
      <c r="D402" s="3" t="s">
        <v>1366</v>
      </c>
      <c r="E402" s="3" t="s">
        <v>1899</v>
      </c>
      <c r="F402" s="3" t="s">
        <v>1900</v>
      </c>
    </row>
    <row r="403" spans="1:6" ht="66" customHeight="1">
      <c r="A403" s="3" t="s">
        <v>1669</v>
      </c>
      <c r="B403" s="3" t="s">
        <v>1901</v>
      </c>
      <c r="C403" s="3" t="s">
        <v>1762</v>
      </c>
      <c r="D403" s="3" t="s">
        <v>1902</v>
      </c>
      <c r="E403" s="3" t="s">
        <v>1903</v>
      </c>
      <c r="F403" s="3" t="s">
        <v>1904</v>
      </c>
    </row>
    <row r="404" spans="1:6" ht="66" customHeight="1">
      <c r="A404" s="3" t="s">
        <v>1669</v>
      </c>
      <c r="B404" s="3" t="s">
        <v>1905</v>
      </c>
      <c r="C404" s="3" t="s">
        <v>1362</v>
      </c>
      <c r="D404" s="3" t="s">
        <v>1363</v>
      </c>
      <c r="E404" s="3" t="s">
        <v>1388</v>
      </c>
      <c r="F404" s="3" t="s">
        <v>1417</v>
      </c>
    </row>
    <row r="405" spans="1:6" ht="66" customHeight="1">
      <c r="A405" s="3" t="s">
        <v>1669</v>
      </c>
      <c r="B405" s="3" t="s">
        <v>1906</v>
      </c>
      <c r="C405" s="3" t="s">
        <v>1362</v>
      </c>
      <c r="D405" s="3" t="s">
        <v>1366</v>
      </c>
      <c r="E405" s="3" t="s">
        <v>1907</v>
      </c>
      <c r="F405" s="3" t="s">
        <v>1908</v>
      </c>
    </row>
    <row r="406" spans="1:6" ht="66" customHeight="1">
      <c r="A406" s="3" t="s">
        <v>1669</v>
      </c>
      <c r="B406" s="3" t="s">
        <v>1909</v>
      </c>
      <c r="C406" s="3" t="s">
        <v>1362</v>
      </c>
      <c r="D406" s="3" t="s">
        <v>1363</v>
      </c>
      <c r="E406" s="3" t="s">
        <v>1910</v>
      </c>
      <c r="F406" s="3" t="s">
        <v>1911</v>
      </c>
    </row>
    <row r="407" spans="1:6" ht="66" customHeight="1">
      <c r="A407" s="3" t="s">
        <v>1669</v>
      </c>
      <c r="B407" s="3" t="s">
        <v>1912</v>
      </c>
      <c r="C407" s="3" t="s">
        <v>1362</v>
      </c>
      <c r="D407" s="3" t="s">
        <v>1366</v>
      </c>
      <c r="E407" s="3" t="s">
        <v>1913</v>
      </c>
      <c r="F407" s="3" t="s">
        <v>1914</v>
      </c>
    </row>
    <row r="408" spans="1:6" ht="66" customHeight="1">
      <c r="A408" s="3" t="s">
        <v>1669</v>
      </c>
      <c r="B408" s="3" t="s">
        <v>1915</v>
      </c>
      <c r="C408" s="3" t="s">
        <v>1362</v>
      </c>
      <c r="D408" s="3" t="s">
        <v>1366</v>
      </c>
      <c r="E408" s="3" t="s">
        <v>1916</v>
      </c>
      <c r="F408" s="3" t="s">
        <v>1422</v>
      </c>
    </row>
    <row r="409" spans="1:6" ht="66" customHeight="1">
      <c r="A409" s="3" t="s">
        <v>1669</v>
      </c>
      <c r="B409" s="3" t="s">
        <v>1917</v>
      </c>
      <c r="C409" s="3" t="s">
        <v>1362</v>
      </c>
      <c r="D409" s="3" t="s">
        <v>1366</v>
      </c>
      <c r="E409" s="3" t="s">
        <v>1918</v>
      </c>
      <c r="F409" s="3" t="s">
        <v>1919</v>
      </c>
    </row>
    <row r="410" spans="1:6" ht="66" customHeight="1">
      <c r="A410" s="3" t="s">
        <v>1669</v>
      </c>
      <c r="B410" s="3" t="s">
        <v>1920</v>
      </c>
      <c r="C410" s="3" t="s">
        <v>1762</v>
      </c>
      <c r="D410" s="3" t="s">
        <v>1921</v>
      </c>
      <c r="E410" s="3" t="s">
        <v>427</v>
      </c>
      <c r="F410" s="3" t="s">
        <v>429</v>
      </c>
    </row>
    <row r="411" spans="1:6" ht="66" customHeight="1">
      <c r="A411" s="3" t="s">
        <v>1669</v>
      </c>
      <c r="B411" s="3" t="s">
        <v>1922</v>
      </c>
      <c r="C411" s="3" t="s">
        <v>1362</v>
      </c>
      <c r="D411" s="3" t="s">
        <v>1366</v>
      </c>
      <c r="E411" s="3" t="s">
        <v>1923</v>
      </c>
      <c r="F411" s="3" t="s">
        <v>434</v>
      </c>
    </row>
    <row r="412" spans="1:6" ht="66" customHeight="1">
      <c r="A412" s="3" t="s">
        <v>1669</v>
      </c>
      <c r="B412" s="3" t="s">
        <v>1924</v>
      </c>
      <c r="C412" s="3" t="s">
        <v>1362</v>
      </c>
      <c r="D412" s="3" t="s">
        <v>1366</v>
      </c>
      <c r="E412" s="3" t="s">
        <v>1925</v>
      </c>
      <c r="F412" s="3" t="s">
        <v>434</v>
      </c>
    </row>
    <row r="413" spans="1:6" ht="66" customHeight="1">
      <c r="A413" s="3" t="s">
        <v>1669</v>
      </c>
      <c r="B413" s="3" t="s">
        <v>1926</v>
      </c>
      <c r="C413" s="3" t="s">
        <v>1362</v>
      </c>
      <c r="D413" s="3" t="s">
        <v>1366</v>
      </c>
      <c r="E413" s="3" t="s">
        <v>1927</v>
      </c>
      <c r="F413" s="3" t="s">
        <v>1928</v>
      </c>
    </row>
    <row r="414" spans="1:6" ht="66" customHeight="1">
      <c r="A414" s="3" t="s">
        <v>1669</v>
      </c>
      <c r="B414" s="3" t="s">
        <v>1929</v>
      </c>
      <c r="C414" s="3" t="s">
        <v>1362</v>
      </c>
      <c r="D414" s="3" t="s">
        <v>1366</v>
      </c>
      <c r="E414" s="3" t="s">
        <v>1930</v>
      </c>
      <c r="F414" s="3" t="s">
        <v>1425</v>
      </c>
    </row>
    <row r="415" spans="1:6" ht="66" customHeight="1">
      <c r="A415" s="3" t="s">
        <v>1669</v>
      </c>
      <c r="B415" s="3" t="s">
        <v>1931</v>
      </c>
      <c r="C415" s="3" t="s">
        <v>1362</v>
      </c>
      <c r="D415" s="3" t="s">
        <v>1366</v>
      </c>
      <c r="E415" s="3" t="s">
        <v>1932</v>
      </c>
      <c r="F415" s="3" t="s">
        <v>1933</v>
      </c>
    </row>
    <row r="416" spans="1:6" ht="66" customHeight="1">
      <c r="A416" s="3" t="s">
        <v>1669</v>
      </c>
      <c r="B416" s="3" t="s">
        <v>1934</v>
      </c>
      <c r="C416" s="3" t="s">
        <v>1362</v>
      </c>
      <c r="D416" s="3" t="s">
        <v>1366</v>
      </c>
      <c r="E416" s="3" t="s">
        <v>1432</v>
      </c>
      <c r="F416" s="3" t="s">
        <v>1933</v>
      </c>
    </row>
    <row r="417" spans="1:6" ht="66" customHeight="1">
      <c r="A417" s="3" t="s">
        <v>1669</v>
      </c>
      <c r="B417" s="3" t="s">
        <v>1935</v>
      </c>
      <c r="C417" s="3" t="s">
        <v>1362</v>
      </c>
      <c r="D417" s="3" t="s">
        <v>1366</v>
      </c>
      <c r="E417" s="3" t="s">
        <v>1434</v>
      </c>
      <c r="F417" s="3" t="s">
        <v>1933</v>
      </c>
    </row>
    <row r="418" spans="1:6" ht="66" customHeight="1">
      <c r="A418" s="3" t="s">
        <v>1669</v>
      </c>
      <c r="B418" s="3" t="s">
        <v>1936</v>
      </c>
      <c r="C418" s="3" t="s">
        <v>1362</v>
      </c>
      <c r="D418" s="3" t="s">
        <v>1366</v>
      </c>
      <c r="E418" s="3" t="s">
        <v>1430</v>
      </c>
      <c r="F418" s="3" t="s">
        <v>1933</v>
      </c>
    </row>
    <row r="419" spans="1:6" ht="66" customHeight="1">
      <c r="A419" s="3" t="s">
        <v>1669</v>
      </c>
      <c r="B419" s="3" t="s">
        <v>1937</v>
      </c>
      <c r="C419" s="3" t="s">
        <v>1362</v>
      </c>
      <c r="D419" s="3" t="s">
        <v>1366</v>
      </c>
      <c r="E419" s="3" t="s">
        <v>1938</v>
      </c>
      <c r="F419" s="3" t="s">
        <v>1933</v>
      </c>
    </row>
    <row r="420" spans="1:6" ht="66" customHeight="1">
      <c r="A420" s="3" t="s">
        <v>1669</v>
      </c>
      <c r="B420" s="3" t="s">
        <v>1939</v>
      </c>
      <c r="C420" s="3" t="s">
        <v>1362</v>
      </c>
      <c r="D420" s="3" t="s">
        <v>1366</v>
      </c>
      <c r="E420" s="3" t="s">
        <v>1940</v>
      </c>
      <c r="F420" s="3" t="s">
        <v>1941</v>
      </c>
    </row>
    <row r="421" spans="1:6" ht="66" customHeight="1">
      <c r="A421" s="3" t="s">
        <v>1669</v>
      </c>
      <c r="B421" s="3" t="s">
        <v>1942</v>
      </c>
      <c r="C421" s="3" t="s">
        <v>1362</v>
      </c>
      <c r="D421" s="3" t="s">
        <v>1366</v>
      </c>
      <c r="E421" s="3" t="s">
        <v>1943</v>
      </c>
      <c r="F421" s="3" t="s">
        <v>1944</v>
      </c>
    </row>
    <row r="422" spans="1:6" ht="66" customHeight="1">
      <c r="A422" s="3" t="s">
        <v>1669</v>
      </c>
      <c r="B422" s="3" t="s">
        <v>1945</v>
      </c>
      <c r="C422" s="3" t="s">
        <v>1362</v>
      </c>
      <c r="D422" s="3" t="s">
        <v>1366</v>
      </c>
      <c r="E422" s="3" t="s">
        <v>1946</v>
      </c>
      <c r="F422" s="3" t="s">
        <v>1947</v>
      </c>
    </row>
    <row r="423" spans="1:6" ht="66" customHeight="1">
      <c r="A423" s="3" t="s">
        <v>1669</v>
      </c>
      <c r="B423" s="3" t="s">
        <v>1948</v>
      </c>
      <c r="C423" s="3" t="s">
        <v>1362</v>
      </c>
      <c r="D423" s="3" t="s">
        <v>1366</v>
      </c>
      <c r="E423" s="3" t="s">
        <v>1949</v>
      </c>
      <c r="F423" s="3" t="s">
        <v>1947</v>
      </c>
    </row>
    <row r="424" spans="1:6" ht="66" customHeight="1">
      <c r="A424" s="3" t="s">
        <v>1669</v>
      </c>
      <c r="B424" s="3" t="s">
        <v>1950</v>
      </c>
      <c r="C424" s="3" t="s">
        <v>1362</v>
      </c>
      <c r="D424" s="3" t="s">
        <v>1366</v>
      </c>
      <c r="E424" s="3" t="s">
        <v>1951</v>
      </c>
      <c r="F424" s="3" t="s">
        <v>1952</v>
      </c>
    </row>
    <row r="425" spans="1:6" ht="66" customHeight="1">
      <c r="A425" s="3" t="s">
        <v>1669</v>
      </c>
      <c r="B425" s="3" t="s">
        <v>1953</v>
      </c>
      <c r="C425" s="3" t="s">
        <v>1362</v>
      </c>
      <c r="D425" s="3" t="s">
        <v>1366</v>
      </c>
      <c r="E425" s="3" t="s">
        <v>1954</v>
      </c>
      <c r="F425" s="3" t="s">
        <v>1955</v>
      </c>
    </row>
    <row r="426" spans="1:6" ht="66" customHeight="1">
      <c r="A426" s="3" t="s">
        <v>1669</v>
      </c>
      <c r="B426" s="3" t="s">
        <v>440</v>
      </c>
      <c r="C426" s="3" t="s">
        <v>1359</v>
      </c>
      <c r="D426" s="3" t="s">
        <v>1672</v>
      </c>
      <c r="E426" s="3" t="s">
        <v>437</v>
      </c>
      <c r="F426" s="3" t="s">
        <v>439</v>
      </c>
    </row>
    <row r="427" spans="1:6" ht="66" customHeight="1">
      <c r="A427" s="3" t="s">
        <v>1669</v>
      </c>
      <c r="B427" s="3" t="s">
        <v>1956</v>
      </c>
      <c r="C427" s="3" t="s">
        <v>1362</v>
      </c>
      <c r="D427" s="3" t="s">
        <v>1555</v>
      </c>
      <c r="E427" s="3" t="s">
        <v>1957</v>
      </c>
      <c r="F427" s="3" t="s">
        <v>1958</v>
      </c>
    </row>
    <row r="428" spans="1:6" ht="66" customHeight="1">
      <c r="A428" s="3" t="s">
        <v>1669</v>
      </c>
      <c r="B428" s="3" t="s">
        <v>448</v>
      </c>
      <c r="C428" s="3" t="s">
        <v>1359</v>
      </c>
      <c r="D428" s="3" t="s">
        <v>1672</v>
      </c>
      <c r="E428" s="3" t="s">
        <v>442</v>
      </c>
      <c r="F428" s="3" t="s">
        <v>447</v>
      </c>
    </row>
    <row r="429" spans="1:6" ht="66" customHeight="1">
      <c r="A429" s="3" t="s">
        <v>1669</v>
      </c>
      <c r="B429" s="3" t="s">
        <v>1959</v>
      </c>
      <c r="C429" s="3" t="s">
        <v>1362</v>
      </c>
      <c r="D429" s="3" t="s">
        <v>1366</v>
      </c>
      <c r="E429" s="3" t="s">
        <v>1960</v>
      </c>
      <c r="F429" s="3" t="s">
        <v>1961</v>
      </c>
    </row>
    <row r="430" spans="1:6" ht="66" customHeight="1">
      <c r="A430" s="3" t="s">
        <v>1669</v>
      </c>
      <c r="B430" s="3" t="s">
        <v>1962</v>
      </c>
      <c r="C430" s="3" t="s">
        <v>1362</v>
      </c>
      <c r="D430" s="3" t="s">
        <v>1402</v>
      </c>
      <c r="E430" s="3" t="s">
        <v>1963</v>
      </c>
      <c r="F430" s="3" t="s">
        <v>1961</v>
      </c>
    </row>
    <row r="431" spans="1:6" ht="66" customHeight="1">
      <c r="A431" s="3" t="s">
        <v>1669</v>
      </c>
      <c r="B431" s="3" t="s">
        <v>1964</v>
      </c>
      <c r="C431" s="3" t="s">
        <v>1362</v>
      </c>
      <c r="D431" s="3" t="s">
        <v>1366</v>
      </c>
      <c r="E431" s="3" t="s">
        <v>1965</v>
      </c>
      <c r="F431" s="3" t="s">
        <v>1966</v>
      </c>
    </row>
    <row r="432" spans="1:6" ht="66" customHeight="1">
      <c r="A432" s="3" t="s">
        <v>1669</v>
      </c>
      <c r="B432" s="3" t="s">
        <v>1967</v>
      </c>
      <c r="C432" s="3" t="s">
        <v>1362</v>
      </c>
      <c r="D432" s="3" t="s">
        <v>1366</v>
      </c>
      <c r="E432" s="3" t="s">
        <v>1968</v>
      </c>
      <c r="F432" s="3" t="s">
        <v>1969</v>
      </c>
    </row>
    <row r="433" spans="1:6" ht="66" customHeight="1">
      <c r="A433" s="3" t="s">
        <v>1669</v>
      </c>
      <c r="B433" s="3" t="s">
        <v>1970</v>
      </c>
      <c r="C433" s="3" t="s">
        <v>1762</v>
      </c>
      <c r="D433" s="3" t="s">
        <v>1971</v>
      </c>
      <c r="E433" s="3" t="s">
        <v>1972</v>
      </c>
      <c r="F433" s="3" t="s">
        <v>452</v>
      </c>
    </row>
    <row r="434" spans="1:6" ht="66" customHeight="1">
      <c r="A434" s="3" t="s">
        <v>1669</v>
      </c>
      <c r="B434" s="3" t="s">
        <v>1973</v>
      </c>
      <c r="C434" s="3" t="s">
        <v>1762</v>
      </c>
      <c r="D434" s="3" t="s">
        <v>1974</v>
      </c>
      <c r="E434" s="3" t="s">
        <v>455</v>
      </c>
      <c r="F434" s="3" t="s">
        <v>457</v>
      </c>
    </row>
    <row r="435" spans="1:6" ht="66" customHeight="1">
      <c r="A435" s="3" t="s">
        <v>1669</v>
      </c>
      <c r="B435" s="3" t="s">
        <v>1975</v>
      </c>
      <c r="C435" s="3" t="s">
        <v>1762</v>
      </c>
      <c r="D435" s="3" t="s">
        <v>1976</v>
      </c>
      <c r="E435" s="3" t="s">
        <v>460</v>
      </c>
      <c r="F435" s="3" t="s">
        <v>462</v>
      </c>
    </row>
    <row r="436" spans="1:6" ht="66" customHeight="1">
      <c r="A436" s="3" t="s">
        <v>1669</v>
      </c>
      <c r="B436" s="3" t="s">
        <v>467</v>
      </c>
      <c r="C436" s="3" t="s">
        <v>1359</v>
      </c>
      <c r="D436" s="3" t="s">
        <v>1672</v>
      </c>
      <c r="E436" s="3" t="s">
        <v>465</v>
      </c>
      <c r="F436" s="3" t="s">
        <v>462</v>
      </c>
    </row>
    <row r="437" spans="1:6" ht="66" customHeight="1">
      <c r="A437" s="3" t="s">
        <v>1669</v>
      </c>
      <c r="B437" s="3" t="s">
        <v>472</v>
      </c>
      <c r="C437" s="3" t="s">
        <v>1359</v>
      </c>
      <c r="D437" s="3" t="s">
        <v>1672</v>
      </c>
      <c r="E437" s="3" t="s">
        <v>469</v>
      </c>
      <c r="F437" s="3" t="s">
        <v>471</v>
      </c>
    </row>
    <row r="438" spans="1:6" ht="66" customHeight="1">
      <c r="A438" s="3" t="s">
        <v>1669</v>
      </c>
      <c r="B438" s="3" t="s">
        <v>482</v>
      </c>
      <c r="C438" s="3" t="s">
        <v>1359</v>
      </c>
      <c r="D438" s="3" t="s">
        <v>1672</v>
      </c>
      <c r="E438" s="3" t="s">
        <v>479</v>
      </c>
      <c r="F438" s="3" t="s">
        <v>481</v>
      </c>
    </row>
    <row r="439" spans="1:6" ht="66" customHeight="1">
      <c r="A439" s="3" t="s">
        <v>1669</v>
      </c>
      <c r="B439" s="3" t="s">
        <v>1977</v>
      </c>
      <c r="C439" s="3" t="s">
        <v>1362</v>
      </c>
      <c r="D439" s="3" t="s">
        <v>1366</v>
      </c>
      <c r="E439" s="3" t="s">
        <v>1978</v>
      </c>
      <c r="F439" s="3" t="s">
        <v>1979</v>
      </c>
    </row>
    <row r="440" spans="1:6" ht="66" customHeight="1">
      <c r="A440" s="3" t="s">
        <v>1669</v>
      </c>
      <c r="B440" s="3" t="s">
        <v>487</v>
      </c>
      <c r="C440" s="3" t="s">
        <v>1359</v>
      </c>
      <c r="D440" s="3" t="s">
        <v>1672</v>
      </c>
      <c r="E440" s="3" t="s">
        <v>484</v>
      </c>
      <c r="F440" s="3" t="s">
        <v>486</v>
      </c>
    </row>
    <row r="441" spans="1:6" ht="66" customHeight="1">
      <c r="A441" s="3" t="s">
        <v>1669</v>
      </c>
      <c r="B441" s="3" t="s">
        <v>493</v>
      </c>
      <c r="C441" s="3" t="s">
        <v>1359</v>
      </c>
      <c r="D441" s="3" t="s">
        <v>1672</v>
      </c>
      <c r="E441" s="3" t="s">
        <v>491</v>
      </c>
      <c r="F441" s="3" t="s">
        <v>492</v>
      </c>
    </row>
    <row r="442" spans="1:6" ht="66" customHeight="1">
      <c r="A442" s="3" t="s">
        <v>1669</v>
      </c>
      <c r="B442" s="3" t="s">
        <v>1980</v>
      </c>
      <c r="C442" s="3" t="s">
        <v>1362</v>
      </c>
      <c r="D442" s="3" t="s">
        <v>1402</v>
      </c>
      <c r="E442" s="3" t="s">
        <v>1443</v>
      </c>
      <c r="F442" s="3" t="s">
        <v>497</v>
      </c>
    </row>
    <row r="443" spans="1:6" ht="66" customHeight="1">
      <c r="A443" s="3" t="s">
        <v>1669</v>
      </c>
      <c r="B443" s="3" t="s">
        <v>498</v>
      </c>
      <c r="C443" s="3" t="s">
        <v>1359</v>
      </c>
      <c r="D443" s="3" t="s">
        <v>1672</v>
      </c>
      <c r="E443" s="3" t="s">
        <v>495</v>
      </c>
      <c r="F443" s="3" t="s">
        <v>497</v>
      </c>
    </row>
    <row r="444" spans="1:6" ht="66" customHeight="1">
      <c r="A444" s="3" t="s">
        <v>1669</v>
      </c>
      <c r="B444" s="3" t="s">
        <v>503</v>
      </c>
      <c r="C444" s="3" t="s">
        <v>1359</v>
      </c>
      <c r="D444" s="3" t="s">
        <v>1672</v>
      </c>
      <c r="E444" s="3" t="s">
        <v>500</v>
      </c>
      <c r="F444" s="3" t="s">
        <v>502</v>
      </c>
    </row>
    <row r="445" spans="1:6" ht="66" customHeight="1">
      <c r="A445" s="3" t="s">
        <v>1669</v>
      </c>
      <c r="B445" s="3" t="s">
        <v>1981</v>
      </c>
      <c r="C445" s="3" t="s">
        <v>1762</v>
      </c>
      <c r="D445" s="3" t="s">
        <v>1982</v>
      </c>
      <c r="E445" s="3" t="s">
        <v>1983</v>
      </c>
      <c r="F445" s="3" t="s">
        <v>1984</v>
      </c>
    </row>
    <row r="446" spans="1:6" ht="66" customHeight="1">
      <c r="A446" s="3" t="s">
        <v>1669</v>
      </c>
      <c r="B446" s="3" t="s">
        <v>1985</v>
      </c>
      <c r="C446" s="3" t="s">
        <v>1762</v>
      </c>
      <c r="D446" s="3" t="s">
        <v>1986</v>
      </c>
      <c r="E446" s="3" t="s">
        <v>505</v>
      </c>
      <c r="F446" s="3" t="s">
        <v>507</v>
      </c>
    </row>
    <row r="447" spans="1:6" ht="66" customHeight="1">
      <c r="A447" s="3" t="s">
        <v>1669</v>
      </c>
      <c r="B447" s="3" t="s">
        <v>522</v>
      </c>
      <c r="C447" s="3" t="s">
        <v>1359</v>
      </c>
      <c r="D447" s="3" t="s">
        <v>1672</v>
      </c>
      <c r="E447" s="3" t="s">
        <v>520</v>
      </c>
      <c r="F447" s="3" t="s">
        <v>517</v>
      </c>
    </row>
    <row r="448" spans="1:6" ht="66" customHeight="1">
      <c r="A448" s="3" t="s">
        <v>1669</v>
      </c>
      <c r="B448" s="3" t="s">
        <v>1987</v>
      </c>
      <c r="C448" s="3" t="s">
        <v>1762</v>
      </c>
      <c r="D448" s="3" t="s">
        <v>1988</v>
      </c>
      <c r="E448" s="3" t="s">
        <v>1989</v>
      </c>
      <c r="F448" s="3" t="s">
        <v>517</v>
      </c>
    </row>
    <row r="449" spans="1:6" ht="66" customHeight="1">
      <c r="A449" s="3" t="s">
        <v>1669</v>
      </c>
      <c r="B449" s="3" t="s">
        <v>1990</v>
      </c>
      <c r="C449" s="3" t="s">
        <v>1362</v>
      </c>
      <c r="D449" s="3" t="s">
        <v>1366</v>
      </c>
      <c r="E449" s="3" t="s">
        <v>1991</v>
      </c>
      <c r="F449" s="3" t="s">
        <v>1992</v>
      </c>
    </row>
    <row r="450" spans="1:6" ht="66" customHeight="1">
      <c r="A450" s="3" t="s">
        <v>1669</v>
      </c>
      <c r="B450" s="3" t="s">
        <v>1993</v>
      </c>
      <c r="C450" s="3" t="s">
        <v>1762</v>
      </c>
      <c r="D450" s="3" t="s">
        <v>1994</v>
      </c>
      <c r="E450" s="3" t="s">
        <v>1995</v>
      </c>
      <c r="F450" s="3" t="s">
        <v>1996</v>
      </c>
    </row>
    <row r="451" spans="1:6" ht="66" customHeight="1">
      <c r="A451" s="3" t="s">
        <v>1669</v>
      </c>
      <c r="B451" s="3" t="s">
        <v>1997</v>
      </c>
      <c r="C451" s="3" t="s">
        <v>1362</v>
      </c>
      <c r="D451" s="3" t="s">
        <v>1366</v>
      </c>
      <c r="E451" s="3" t="s">
        <v>1998</v>
      </c>
      <c r="F451" s="3" t="s">
        <v>526</v>
      </c>
    </row>
    <row r="452" spans="1:6" ht="66" customHeight="1">
      <c r="A452" s="3" t="s">
        <v>1669</v>
      </c>
      <c r="B452" s="3" t="s">
        <v>1999</v>
      </c>
      <c r="C452" s="3" t="s">
        <v>1362</v>
      </c>
      <c r="D452" s="3" t="s">
        <v>1366</v>
      </c>
      <c r="E452" s="3" t="s">
        <v>2000</v>
      </c>
      <c r="F452" s="3" t="s">
        <v>2001</v>
      </c>
    </row>
    <row r="453" spans="1:6" ht="66" customHeight="1">
      <c r="A453" s="3" t="s">
        <v>1669</v>
      </c>
      <c r="B453" s="3" t="s">
        <v>2002</v>
      </c>
      <c r="C453" s="3" t="s">
        <v>1362</v>
      </c>
      <c r="D453" s="3" t="s">
        <v>1366</v>
      </c>
      <c r="E453" s="3" t="s">
        <v>1445</v>
      </c>
      <c r="F453" s="3" t="s">
        <v>1446</v>
      </c>
    </row>
    <row r="454" spans="1:6" ht="66" customHeight="1">
      <c r="A454" s="3" t="s">
        <v>1669</v>
      </c>
      <c r="B454" s="3" t="s">
        <v>2003</v>
      </c>
      <c r="C454" s="3" t="s">
        <v>1762</v>
      </c>
      <c r="D454" s="3" t="s">
        <v>2004</v>
      </c>
      <c r="E454" s="3" t="s">
        <v>529</v>
      </c>
      <c r="F454" s="3" t="s">
        <v>531</v>
      </c>
    </row>
    <row r="455" spans="1:6" ht="66" customHeight="1">
      <c r="A455" s="3" t="s">
        <v>1669</v>
      </c>
      <c r="B455" s="3" t="s">
        <v>2005</v>
      </c>
      <c r="C455" s="3" t="s">
        <v>1762</v>
      </c>
      <c r="D455" s="3" t="s">
        <v>2006</v>
      </c>
      <c r="E455" s="3" t="s">
        <v>2007</v>
      </c>
      <c r="F455" s="3" t="s">
        <v>2008</v>
      </c>
    </row>
    <row r="456" spans="1:6" ht="66" customHeight="1">
      <c r="A456" s="3" t="s">
        <v>1669</v>
      </c>
      <c r="B456" s="3" t="s">
        <v>2009</v>
      </c>
      <c r="C456" s="3" t="s">
        <v>1362</v>
      </c>
      <c r="D456" s="3" t="s">
        <v>1366</v>
      </c>
      <c r="E456" s="3" t="s">
        <v>1448</v>
      </c>
      <c r="F456" s="3" t="s">
        <v>540</v>
      </c>
    </row>
    <row r="457" spans="1:6" ht="66" customHeight="1">
      <c r="A457" s="3" t="s">
        <v>1669</v>
      </c>
      <c r="B457" s="3" t="s">
        <v>541</v>
      </c>
      <c r="C457" s="3" t="s">
        <v>1359</v>
      </c>
      <c r="D457" s="3" t="s">
        <v>1672</v>
      </c>
      <c r="E457" s="3" t="s">
        <v>538</v>
      </c>
      <c r="F457" s="3" t="s">
        <v>540</v>
      </c>
    </row>
    <row r="458" spans="1:6" ht="66" customHeight="1">
      <c r="A458" s="3" t="s">
        <v>1669</v>
      </c>
      <c r="B458" s="3" t="s">
        <v>2010</v>
      </c>
      <c r="C458" s="3" t="s">
        <v>1762</v>
      </c>
      <c r="D458" s="3" t="s">
        <v>2011</v>
      </c>
      <c r="E458" s="3" t="s">
        <v>543</v>
      </c>
      <c r="F458" s="3" t="s">
        <v>545</v>
      </c>
    </row>
    <row r="459" spans="1:6" ht="66" customHeight="1">
      <c r="A459" s="3" t="s">
        <v>1669</v>
      </c>
      <c r="B459" s="3" t="s">
        <v>2012</v>
      </c>
      <c r="C459" s="3" t="s">
        <v>1762</v>
      </c>
      <c r="D459" s="3" t="s">
        <v>2013</v>
      </c>
      <c r="E459" s="3" t="s">
        <v>2014</v>
      </c>
      <c r="F459" s="3" t="s">
        <v>545</v>
      </c>
    </row>
    <row r="460" spans="1:6" ht="66" customHeight="1">
      <c r="A460" s="3" t="s">
        <v>1669</v>
      </c>
      <c r="B460" s="3" t="s">
        <v>2015</v>
      </c>
      <c r="C460" s="3" t="s">
        <v>1762</v>
      </c>
      <c r="D460" s="3" t="s">
        <v>2016</v>
      </c>
      <c r="E460" s="3" t="s">
        <v>552</v>
      </c>
      <c r="F460" s="3" t="s">
        <v>554</v>
      </c>
    </row>
    <row r="461" spans="1:6" ht="66" customHeight="1">
      <c r="A461" s="3" t="s">
        <v>1669</v>
      </c>
      <c r="B461" s="3" t="s">
        <v>2017</v>
      </c>
      <c r="C461" s="3" t="s">
        <v>1362</v>
      </c>
      <c r="D461" s="3" t="s">
        <v>1366</v>
      </c>
      <c r="E461" s="3" t="s">
        <v>2018</v>
      </c>
      <c r="F461" s="3" t="s">
        <v>554</v>
      </c>
    </row>
    <row r="462" spans="1:6" ht="66" customHeight="1">
      <c r="A462" s="3" t="s">
        <v>1669</v>
      </c>
      <c r="B462" s="3" t="s">
        <v>2019</v>
      </c>
      <c r="C462" s="3" t="s">
        <v>1762</v>
      </c>
      <c r="D462" s="3" t="s">
        <v>2020</v>
      </c>
      <c r="E462" s="3" t="s">
        <v>557</v>
      </c>
      <c r="F462" s="3" t="s">
        <v>559</v>
      </c>
    </row>
    <row r="463" spans="1:6" ht="66" customHeight="1">
      <c r="A463" s="3" t="s">
        <v>1669</v>
      </c>
      <c r="B463" s="3" t="s">
        <v>565</v>
      </c>
      <c r="C463" s="3" t="s">
        <v>1359</v>
      </c>
      <c r="D463" s="3" t="s">
        <v>1672</v>
      </c>
      <c r="E463" s="3" t="s">
        <v>562</v>
      </c>
      <c r="F463" s="3" t="s">
        <v>564</v>
      </c>
    </row>
    <row r="464" spans="1:6" ht="66" customHeight="1">
      <c r="A464" s="3" t="s">
        <v>1669</v>
      </c>
      <c r="B464" s="3" t="s">
        <v>2021</v>
      </c>
      <c r="C464" s="3" t="s">
        <v>1362</v>
      </c>
      <c r="D464" s="3" t="s">
        <v>1366</v>
      </c>
      <c r="E464" s="3" t="s">
        <v>1452</v>
      </c>
      <c r="F464" s="3" t="s">
        <v>2022</v>
      </c>
    </row>
    <row r="465" spans="1:6" ht="66" customHeight="1">
      <c r="A465" s="3" t="s">
        <v>1669</v>
      </c>
      <c r="B465" s="3" t="s">
        <v>2023</v>
      </c>
      <c r="C465" s="3" t="s">
        <v>1762</v>
      </c>
      <c r="D465" s="3" t="s">
        <v>2024</v>
      </c>
      <c r="E465" s="3" t="s">
        <v>567</v>
      </c>
      <c r="F465" s="3" t="s">
        <v>2025</v>
      </c>
    </row>
    <row r="466" spans="1:6" ht="66" customHeight="1">
      <c r="A466" s="3" t="s">
        <v>1669</v>
      </c>
      <c r="B466" s="3" t="s">
        <v>2026</v>
      </c>
      <c r="C466" s="3" t="s">
        <v>1762</v>
      </c>
      <c r="D466" s="3" t="s">
        <v>2027</v>
      </c>
      <c r="E466" s="3" t="s">
        <v>2028</v>
      </c>
      <c r="F466" s="3" t="s">
        <v>574</v>
      </c>
    </row>
    <row r="467" spans="1:6" ht="66" customHeight="1">
      <c r="A467" s="3" t="s">
        <v>1669</v>
      </c>
      <c r="B467" s="3" t="s">
        <v>2029</v>
      </c>
      <c r="C467" s="3" t="s">
        <v>1362</v>
      </c>
      <c r="D467" s="3" t="s">
        <v>1366</v>
      </c>
      <c r="E467" s="3" t="s">
        <v>2030</v>
      </c>
      <c r="F467" s="3" t="s">
        <v>2031</v>
      </c>
    </row>
    <row r="468" spans="1:6" ht="66" customHeight="1">
      <c r="A468" s="3" t="s">
        <v>1669</v>
      </c>
      <c r="B468" s="3" t="s">
        <v>2032</v>
      </c>
      <c r="C468" s="3" t="s">
        <v>1362</v>
      </c>
      <c r="D468" s="3" t="s">
        <v>1366</v>
      </c>
      <c r="E468" s="3" t="s">
        <v>2033</v>
      </c>
      <c r="F468" s="3" t="s">
        <v>2031</v>
      </c>
    </row>
    <row r="469" spans="1:6" ht="66" customHeight="1">
      <c r="A469" s="3" t="s">
        <v>1669</v>
      </c>
      <c r="B469" s="3" t="s">
        <v>580</v>
      </c>
      <c r="C469" s="3" t="s">
        <v>1359</v>
      </c>
      <c r="D469" s="3" t="s">
        <v>1672</v>
      </c>
      <c r="E469" s="3" t="s">
        <v>577</v>
      </c>
      <c r="F469" s="3" t="s">
        <v>579</v>
      </c>
    </row>
    <row r="470" spans="1:6" ht="66" customHeight="1">
      <c r="A470" s="3" t="s">
        <v>1669</v>
      </c>
      <c r="B470" s="3" t="s">
        <v>2034</v>
      </c>
      <c r="C470" s="3" t="s">
        <v>1762</v>
      </c>
      <c r="D470" s="3" t="s">
        <v>2035</v>
      </c>
      <c r="E470" s="3" t="s">
        <v>2036</v>
      </c>
      <c r="F470" s="3" t="s">
        <v>2037</v>
      </c>
    </row>
    <row r="471" spans="1:6" ht="66" customHeight="1">
      <c r="A471" s="3" t="s">
        <v>1669</v>
      </c>
      <c r="B471" s="3" t="s">
        <v>2038</v>
      </c>
      <c r="C471" s="3" t="s">
        <v>1362</v>
      </c>
      <c r="D471" s="3" t="s">
        <v>1366</v>
      </c>
      <c r="E471" s="3" t="s">
        <v>1455</v>
      </c>
      <c r="F471" s="3" t="s">
        <v>2039</v>
      </c>
    </row>
    <row r="472" spans="1:6" ht="66" customHeight="1">
      <c r="A472" s="3" t="s">
        <v>1669</v>
      </c>
      <c r="B472" s="3" t="s">
        <v>2040</v>
      </c>
      <c r="C472" s="3" t="s">
        <v>1362</v>
      </c>
      <c r="D472" s="3" t="s">
        <v>1402</v>
      </c>
      <c r="E472" s="3" t="s">
        <v>2041</v>
      </c>
      <c r="F472" s="3" t="s">
        <v>1459</v>
      </c>
    </row>
    <row r="473" spans="1:6" ht="66" customHeight="1">
      <c r="A473" s="3" t="s">
        <v>1669</v>
      </c>
      <c r="B473" s="3" t="s">
        <v>2042</v>
      </c>
      <c r="C473" s="3" t="s">
        <v>1362</v>
      </c>
      <c r="D473" s="3" t="s">
        <v>1366</v>
      </c>
      <c r="E473" s="3" t="s">
        <v>1458</v>
      </c>
      <c r="F473" s="3" t="s">
        <v>2043</v>
      </c>
    </row>
    <row r="474" spans="1:6" ht="66" customHeight="1">
      <c r="A474" s="3" t="s">
        <v>1669</v>
      </c>
      <c r="B474" s="3" t="s">
        <v>2044</v>
      </c>
      <c r="C474" s="3" t="s">
        <v>1762</v>
      </c>
      <c r="D474" s="3" t="s">
        <v>2045</v>
      </c>
      <c r="E474" s="3" t="s">
        <v>587</v>
      </c>
      <c r="F474" s="3" t="s">
        <v>589</v>
      </c>
    </row>
    <row r="475" spans="1:6" ht="66" customHeight="1">
      <c r="A475" s="3" t="s">
        <v>1669</v>
      </c>
      <c r="B475" s="3" t="s">
        <v>2046</v>
      </c>
      <c r="C475" s="3" t="s">
        <v>1362</v>
      </c>
      <c r="D475" s="3" t="s">
        <v>1366</v>
      </c>
      <c r="E475" s="3" t="s">
        <v>1465</v>
      </c>
      <c r="F475" s="3" t="s">
        <v>2047</v>
      </c>
    </row>
    <row r="476" spans="1:6" ht="66" customHeight="1">
      <c r="A476" s="3" t="s">
        <v>1669</v>
      </c>
      <c r="B476" s="3" t="s">
        <v>2048</v>
      </c>
      <c r="C476" s="3" t="s">
        <v>1362</v>
      </c>
      <c r="D476" s="3" t="s">
        <v>1366</v>
      </c>
      <c r="E476" s="3" t="s">
        <v>1461</v>
      </c>
      <c r="F476" s="3" t="s">
        <v>594</v>
      </c>
    </row>
    <row r="477" spans="1:6" ht="66" customHeight="1">
      <c r="A477" s="3" t="s">
        <v>1669</v>
      </c>
      <c r="B477" s="3" t="s">
        <v>2049</v>
      </c>
      <c r="C477" s="3" t="s">
        <v>1762</v>
      </c>
      <c r="D477" s="3" t="s">
        <v>2050</v>
      </c>
      <c r="E477" s="3" t="s">
        <v>2051</v>
      </c>
      <c r="F477" s="3" t="s">
        <v>594</v>
      </c>
    </row>
    <row r="478" spans="1:6" ht="66" customHeight="1">
      <c r="A478" s="3" t="s">
        <v>1669</v>
      </c>
      <c r="B478" s="3" t="s">
        <v>2052</v>
      </c>
      <c r="C478" s="3" t="s">
        <v>1762</v>
      </c>
      <c r="D478" s="3" t="s">
        <v>2050</v>
      </c>
      <c r="E478" s="3" t="s">
        <v>592</v>
      </c>
      <c r="F478" s="3" t="s">
        <v>594</v>
      </c>
    </row>
    <row r="479" spans="1:6" ht="66" customHeight="1">
      <c r="A479" s="3" t="s">
        <v>1669</v>
      </c>
      <c r="B479" s="3" t="s">
        <v>2053</v>
      </c>
      <c r="C479" s="3" t="s">
        <v>1762</v>
      </c>
      <c r="D479" s="3" t="s">
        <v>2054</v>
      </c>
      <c r="E479" s="3" t="s">
        <v>2055</v>
      </c>
      <c r="F479" s="3" t="s">
        <v>599</v>
      </c>
    </row>
    <row r="480" spans="1:6" ht="66" customHeight="1">
      <c r="A480" s="3" t="s">
        <v>1669</v>
      </c>
      <c r="B480" s="3" t="s">
        <v>2056</v>
      </c>
      <c r="C480" s="3" t="s">
        <v>1362</v>
      </c>
      <c r="D480" s="3" t="s">
        <v>1366</v>
      </c>
      <c r="E480" s="3" t="s">
        <v>1467</v>
      </c>
      <c r="F480" s="3" t="s">
        <v>599</v>
      </c>
    </row>
    <row r="481" spans="1:6" ht="66" customHeight="1">
      <c r="A481" s="3" t="s">
        <v>1669</v>
      </c>
      <c r="B481" s="3" t="s">
        <v>2057</v>
      </c>
      <c r="C481" s="3" t="s">
        <v>1362</v>
      </c>
      <c r="D481" s="3" t="s">
        <v>1366</v>
      </c>
      <c r="E481" s="3" t="s">
        <v>2058</v>
      </c>
      <c r="F481" s="3" t="s">
        <v>2059</v>
      </c>
    </row>
    <row r="482" spans="1:6" ht="66" customHeight="1">
      <c r="A482" s="3" t="s">
        <v>1669</v>
      </c>
      <c r="B482" s="3" t="s">
        <v>2060</v>
      </c>
      <c r="C482" s="3" t="s">
        <v>1362</v>
      </c>
      <c r="D482" s="3" t="s">
        <v>1366</v>
      </c>
      <c r="E482" s="3" t="s">
        <v>2061</v>
      </c>
      <c r="F482" s="3" t="s">
        <v>2062</v>
      </c>
    </row>
    <row r="483" spans="1:6" ht="66" customHeight="1">
      <c r="A483" s="3" t="s">
        <v>1669</v>
      </c>
      <c r="B483" s="3" t="s">
        <v>2063</v>
      </c>
      <c r="C483" s="3" t="s">
        <v>1362</v>
      </c>
      <c r="D483" s="3" t="s">
        <v>1366</v>
      </c>
      <c r="E483" s="3" t="s">
        <v>1469</v>
      </c>
      <c r="F483" s="3" t="s">
        <v>1470</v>
      </c>
    </row>
    <row r="484" spans="1:6" ht="66" customHeight="1">
      <c r="A484" s="3" t="s">
        <v>1669</v>
      </c>
      <c r="B484" s="3" t="s">
        <v>2064</v>
      </c>
      <c r="C484" s="3" t="s">
        <v>1362</v>
      </c>
      <c r="D484" s="3" t="s">
        <v>1366</v>
      </c>
      <c r="E484" s="3" t="s">
        <v>1472</v>
      </c>
      <c r="F484" s="3" t="s">
        <v>2062</v>
      </c>
    </row>
    <row r="485" spans="1:6" ht="66" customHeight="1">
      <c r="A485" s="3" t="s">
        <v>1669</v>
      </c>
      <c r="B485" s="3" t="s">
        <v>2065</v>
      </c>
      <c r="C485" s="3" t="s">
        <v>1362</v>
      </c>
      <c r="D485" s="3" t="s">
        <v>1366</v>
      </c>
      <c r="E485" s="3" t="s">
        <v>2066</v>
      </c>
      <c r="F485" s="3" t="s">
        <v>2067</v>
      </c>
    </row>
    <row r="486" spans="1:6" ht="66" customHeight="1">
      <c r="A486" s="3" t="s">
        <v>1669</v>
      </c>
      <c r="B486" s="3" t="s">
        <v>605</v>
      </c>
      <c r="C486" s="3" t="s">
        <v>1359</v>
      </c>
      <c r="D486" s="3" t="s">
        <v>1672</v>
      </c>
      <c r="E486" s="3" t="s">
        <v>602</v>
      </c>
      <c r="F486" s="3" t="s">
        <v>604</v>
      </c>
    </row>
    <row r="487" spans="1:6" ht="66" customHeight="1">
      <c r="A487" s="3" t="s">
        <v>1669</v>
      </c>
      <c r="B487" s="3" t="s">
        <v>2068</v>
      </c>
      <c r="C487" s="3" t="s">
        <v>1362</v>
      </c>
      <c r="D487" s="3" t="s">
        <v>1366</v>
      </c>
      <c r="E487" s="3" t="s">
        <v>1477</v>
      </c>
      <c r="F487" s="3" t="s">
        <v>1478</v>
      </c>
    </row>
    <row r="488" spans="1:6" ht="66" customHeight="1">
      <c r="A488" s="3" t="s">
        <v>1669</v>
      </c>
      <c r="B488" s="3" t="s">
        <v>2069</v>
      </c>
      <c r="C488" s="3" t="s">
        <v>1362</v>
      </c>
      <c r="D488" s="3" t="s">
        <v>1366</v>
      </c>
      <c r="E488" s="3" t="s">
        <v>2070</v>
      </c>
      <c r="F488" s="3" t="s">
        <v>2071</v>
      </c>
    </row>
    <row r="489" spans="1:6" ht="66" customHeight="1">
      <c r="A489" s="3" t="s">
        <v>1669</v>
      </c>
      <c r="B489" s="3" t="s">
        <v>2072</v>
      </c>
      <c r="C489" s="3" t="s">
        <v>1362</v>
      </c>
      <c r="D489" s="3" t="s">
        <v>1366</v>
      </c>
      <c r="E489" s="3" t="s">
        <v>2073</v>
      </c>
      <c r="F489" s="3" t="s">
        <v>2074</v>
      </c>
    </row>
    <row r="490" spans="1:6" ht="66" customHeight="1">
      <c r="A490" s="3" t="s">
        <v>1669</v>
      </c>
      <c r="B490" s="3" t="s">
        <v>2075</v>
      </c>
      <c r="C490" s="3" t="s">
        <v>1762</v>
      </c>
      <c r="D490" s="3" t="s">
        <v>2076</v>
      </c>
      <c r="E490" s="3" t="s">
        <v>2077</v>
      </c>
      <c r="F490" s="3" t="s">
        <v>609</v>
      </c>
    </row>
    <row r="491" spans="1:6" ht="66" customHeight="1">
      <c r="A491" s="3" t="s">
        <v>1669</v>
      </c>
      <c r="B491" s="3" t="s">
        <v>2078</v>
      </c>
      <c r="C491" s="3" t="s">
        <v>1762</v>
      </c>
      <c r="D491" s="3" t="s">
        <v>2079</v>
      </c>
      <c r="E491" s="3" t="s">
        <v>2080</v>
      </c>
      <c r="F491" s="3" t="s">
        <v>614</v>
      </c>
    </row>
    <row r="492" spans="1:6" ht="66" customHeight="1">
      <c r="A492" s="3" t="s">
        <v>1669</v>
      </c>
      <c r="B492" s="3" t="s">
        <v>2081</v>
      </c>
      <c r="C492" s="3" t="s">
        <v>1362</v>
      </c>
      <c r="D492" s="3" t="s">
        <v>1366</v>
      </c>
      <c r="E492" s="3" t="s">
        <v>2082</v>
      </c>
      <c r="F492" s="3" t="s">
        <v>2083</v>
      </c>
    </row>
    <row r="493" spans="1:6" ht="66" customHeight="1">
      <c r="A493" s="3" t="s">
        <v>1669</v>
      </c>
      <c r="B493" s="3" t="s">
        <v>2084</v>
      </c>
      <c r="C493" s="3" t="s">
        <v>1762</v>
      </c>
      <c r="D493" s="3" t="s">
        <v>2085</v>
      </c>
      <c r="E493" s="3" t="s">
        <v>2086</v>
      </c>
      <c r="F493" s="3" t="s">
        <v>2087</v>
      </c>
    </row>
    <row r="494" spans="1:6" ht="66" customHeight="1">
      <c r="A494" s="3" t="s">
        <v>1669</v>
      </c>
      <c r="B494" s="3" t="s">
        <v>629</v>
      </c>
      <c r="C494" s="3" t="s">
        <v>1359</v>
      </c>
      <c r="D494" s="3" t="s">
        <v>1672</v>
      </c>
      <c r="E494" s="3" t="s">
        <v>625</v>
      </c>
      <c r="F494" s="3" t="s">
        <v>627</v>
      </c>
    </row>
    <row r="495" spans="1:6" ht="66" customHeight="1">
      <c r="A495" s="3" t="s">
        <v>1669</v>
      </c>
      <c r="B495" s="3" t="s">
        <v>633</v>
      </c>
      <c r="C495" s="3" t="s">
        <v>1359</v>
      </c>
      <c r="D495" s="3" t="s">
        <v>1672</v>
      </c>
      <c r="E495" s="3" t="s">
        <v>631</v>
      </c>
      <c r="F495" s="3" t="s">
        <v>627</v>
      </c>
    </row>
    <row r="496" spans="1:6" ht="66" customHeight="1">
      <c r="A496" s="3" t="s">
        <v>1669</v>
      </c>
      <c r="B496" s="3" t="s">
        <v>2088</v>
      </c>
      <c r="C496" s="3" t="s">
        <v>1362</v>
      </c>
      <c r="D496" s="3" t="s">
        <v>1852</v>
      </c>
      <c r="E496" s="3" t="s">
        <v>2089</v>
      </c>
      <c r="F496" s="3" t="s">
        <v>1481</v>
      </c>
    </row>
    <row r="497" spans="1:6" ht="66" customHeight="1">
      <c r="A497" s="3" t="s">
        <v>1669</v>
      </c>
      <c r="B497" s="3" t="s">
        <v>2090</v>
      </c>
      <c r="C497" s="3" t="s">
        <v>1362</v>
      </c>
      <c r="D497" s="3" t="s">
        <v>1366</v>
      </c>
      <c r="E497" s="3" t="s">
        <v>1480</v>
      </c>
      <c r="F497" s="3" t="s">
        <v>2091</v>
      </c>
    </row>
    <row r="498" spans="1:6" ht="66" customHeight="1">
      <c r="A498" s="3" t="s">
        <v>1669</v>
      </c>
      <c r="B498" s="3" t="s">
        <v>638</v>
      </c>
      <c r="C498" s="3" t="s">
        <v>1359</v>
      </c>
      <c r="D498" s="3" t="s">
        <v>1672</v>
      </c>
      <c r="E498" s="3" t="s">
        <v>635</v>
      </c>
      <c r="F498" s="3" t="s">
        <v>637</v>
      </c>
    </row>
    <row r="499" spans="1:6" ht="66" customHeight="1">
      <c r="A499" s="3" t="s">
        <v>1669</v>
      </c>
      <c r="B499" s="3" t="s">
        <v>2092</v>
      </c>
      <c r="C499" s="3" t="s">
        <v>1362</v>
      </c>
      <c r="D499" s="3" t="s">
        <v>1366</v>
      </c>
      <c r="E499" s="3" t="s">
        <v>2093</v>
      </c>
      <c r="F499" s="3" t="s">
        <v>2094</v>
      </c>
    </row>
    <row r="500" spans="1:6" ht="66" customHeight="1">
      <c r="A500" s="3" t="s">
        <v>1669</v>
      </c>
      <c r="B500" s="3" t="s">
        <v>2095</v>
      </c>
      <c r="C500" s="3" t="s">
        <v>1362</v>
      </c>
      <c r="D500" s="3" t="s">
        <v>1366</v>
      </c>
      <c r="E500" s="3" t="s">
        <v>2096</v>
      </c>
      <c r="F500" s="3" t="s">
        <v>642</v>
      </c>
    </row>
    <row r="501" spans="1:6" ht="66" customHeight="1">
      <c r="A501" s="3" t="s">
        <v>1669</v>
      </c>
      <c r="B501" s="3" t="s">
        <v>643</v>
      </c>
      <c r="C501" s="3" t="s">
        <v>1359</v>
      </c>
      <c r="D501" s="3" t="s">
        <v>1672</v>
      </c>
      <c r="E501" s="3" t="s">
        <v>640</v>
      </c>
      <c r="F501" s="3" t="s">
        <v>642</v>
      </c>
    </row>
    <row r="502" spans="1:6" ht="66" customHeight="1">
      <c r="A502" s="3" t="s">
        <v>1669</v>
      </c>
      <c r="B502" s="3" t="s">
        <v>2097</v>
      </c>
      <c r="C502" s="3" t="s">
        <v>1362</v>
      </c>
      <c r="D502" s="3" t="s">
        <v>1366</v>
      </c>
      <c r="E502" s="3" t="s">
        <v>2098</v>
      </c>
      <c r="F502" s="3" t="s">
        <v>2099</v>
      </c>
    </row>
    <row r="503" spans="1:6" ht="66" customHeight="1">
      <c r="A503" s="3" t="s">
        <v>1669</v>
      </c>
      <c r="B503" s="3" t="s">
        <v>648</v>
      </c>
      <c r="C503" s="3" t="s">
        <v>1359</v>
      </c>
      <c r="D503" s="3" t="s">
        <v>1672</v>
      </c>
      <c r="E503" s="3" t="s">
        <v>645</v>
      </c>
      <c r="F503" s="3" t="s">
        <v>647</v>
      </c>
    </row>
    <row r="504" spans="1:6" ht="66" customHeight="1">
      <c r="A504" s="3" t="s">
        <v>1669</v>
      </c>
      <c r="B504" s="3" t="s">
        <v>2100</v>
      </c>
      <c r="C504" s="3" t="s">
        <v>1362</v>
      </c>
      <c r="D504" s="3" t="s">
        <v>1366</v>
      </c>
      <c r="E504" s="3" t="s">
        <v>1728</v>
      </c>
      <c r="F504" s="3" t="s">
        <v>1484</v>
      </c>
    </row>
    <row r="505" spans="1:6" ht="66" customHeight="1">
      <c r="A505" s="3" t="s">
        <v>1669</v>
      </c>
      <c r="B505" s="3" t="s">
        <v>653</v>
      </c>
      <c r="C505" s="3" t="s">
        <v>1359</v>
      </c>
      <c r="D505" s="3" t="s">
        <v>1672</v>
      </c>
      <c r="E505" s="3" t="s">
        <v>650</v>
      </c>
      <c r="F505" s="3" t="s">
        <v>652</v>
      </c>
    </row>
    <row r="506" spans="1:6" ht="66" customHeight="1">
      <c r="A506" s="3" t="s">
        <v>1669</v>
      </c>
      <c r="B506" s="3" t="s">
        <v>2101</v>
      </c>
      <c r="C506" s="3" t="s">
        <v>1362</v>
      </c>
      <c r="D506" s="3" t="s">
        <v>1366</v>
      </c>
      <c r="E506" s="3" t="s">
        <v>2102</v>
      </c>
      <c r="F506" s="3" t="s">
        <v>2103</v>
      </c>
    </row>
    <row r="507" spans="1:6" ht="66" customHeight="1">
      <c r="A507" s="3" t="s">
        <v>1669</v>
      </c>
      <c r="B507" s="3" t="s">
        <v>2104</v>
      </c>
      <c r="C507" s="3" t="s">
        <v>1762</v>
      </c>
      <c r="D507" s="3" t="s">
        <v>2105</v>
      </c>
      <c r="E507" s="3" t="s">
        <v>655</v>
      </c>
      <c r="F507" s="3" t="s">
        <v>657</v>
      </c>
    </row>
    <row r="508" spans="1:6" ht="66" customHeight="1">
      <c r="A508" s="3" t="s">
        <v>1669</v>
      </c>
      <c r="B508" s="3" t="s">
        <v>662</v>
      </c>
      <c r="C508" s="3" t="s">
        <v>1359</v>
      </c>
      <c r="D508" s="3" t="s">
        <v>1672</v>
      </c>
      <c r="E508" s="3" t="s">
        <v>660</v>
      </c>
      <c r="F508" s="3" t="s">
        <v>657</v>
      </c>
    </row>
    <row r="509" spans="1:6" ht="66" customHeight="1">
      <c r="A509" s="3" t="s">
        <v>1669</v>
      </c>
      <c r="B509" s="3" t="s">
        <v>668</v>
      </c>
      <c r="C509" s="3" t="s">
        <v>1359</v>
      </c>
      <c r="D509" s="3" t="s">
        <v>1672</v>
      </c>
      <c r="E509" s="3" t="s">
        <v>666</v>
      </c>
      <c r="F509" s="3" t="s">
        <v>667</v>
      </c>
    </row>
    <row r="510" spans="1:6" ht="66" customHeight="1">
      <c r="A510" s="3" t="s">
        <v>1669</v>
      </c>
      <c r="B510" s="3" t="s">
        <v>672</v>
      </c>
      <c r="C510" s="3" t="s">
        <v>1359</v>
      </c>
      <c r="D510" s="3" t="s">
        <v>1672</v>
      </c>
      <c r="E510" s="3" t="s">
        <v>670</v>
      </c>
      <c r="F510" s="3" t="s">
        <v>667</v>
      </c>
    </row>
    <row r="511" spans="1:6" ht="66" customHeight="1">
      <c r="A511" s="3" t="s">
        <v>1669</v>
      </c>
      <c r="B511" s="3" t="s">
        <v>2106</v>
      </c>
      <c r="C511" s="3" t="s">
        <v>1362</v>
      </c>
      <c r="D511" s="3" t="s">
        <v>1402</v>
      </c>
      <c r="E511" s="3" t="s">
        <v>2107</v>
      </c>
      <c r="F511" s="3" t="s">
        <v>2108</v>
      </c>
    </row>
    <row r="512" spans="1:6" ht="66" customHeight="1">
      <c r="A512" s="3" t="s">
        <v>1669</v>
      </c>
      <c r="B512" s="3" t="s">
        <v>2109</v>
      </c>
      <c r="C512" s="3" t="s">
        <v>1362</v>
      </c>
      <c r="D512" s="3" t="s">
        <v>1366</v>
      </c>
      <c r="E512" s="3" t="s">
        <v>2110</v>
      </c>
      <c r="F512" s="3" t="s">
        <v>1487</v>
      </c>
    </row>
    <row r="513" spans="1:6" ht="66" customHeight="1">
      <c r="A513" s="3" t="s">
        <v>1669</v>
      </c>
      <c r="B513" s="3" t="s">
        <v>2111</v>
      </c>
      <c r="C513" s="3" t="s">
        <v>1362</v>
      </c>
      <c r="D513" s="3" t="s">
        <v>1402</v>
      </c>
      <c r="E513" s="3" t="s">
        <v>2112</v>
      </c>
      <c r="F513" s="3" t="s">
        <v>1487</v>
      </c>
    </row>
    <row r="514" spans="1:6" ht="66" customHeight="1">
      <c r="A514" s="3" t="s">
        <v>1669</v>
      </c>
      <c r="B514" s="3" t="s">
        <v>2113</v>
      </c>
      <c r="C514" s="3" t="s">
        <v>1362</v>
      </c>
      <c r="D514" s="3" t="s">
        <v>1366</v>
      </c>
      <c r="E514" s="3" t="s">
        <v>674</v>
      </c>
      <c r="F514" s="3" t="s">
        <v>2114</v>
      </c>
    </row>
    <row r="515" spans="1:6" ht="66" customHeight="1">
      <c r="A515" s="3" t="s">
        <v>1669</v>
      </c>
      <c r="B515" s="3" t="s">
        <v>2115</v>
      </c>
      <c r="C515" s="3" t="s">
        <v>1362</v>
      </c>
      <c r="D515" s="3" t="s">
        <v>1366</v>
      </c>
      <c r="E515" s="3" t="s">
        <v>1489</v>
      </c>
      <c r="F515" s="3" t="s">
        <v>1490</v>
      </c>
    </row>
    <row r="516" spans="1:6" ht="66" customHeight="1">
      <c r="A516" s="3" t="s">
        <v>1669</v>
      </c>
      <c r="B516" s="3" t="s">
        <v>2116</v>
      </c>
      <c r="C516" s="3" t="s">
        <v>1762</v>
      </c>
      <c r="D516" s="3" t="s">
        <v>2117</v>
      </c>
      <c r="E516" s="3" t="s">
        <v>679</v>
      </c>
      <c r="F516" s="3" t="s">
        <v>2118</v>
      </c>
    </row>
    <row r="517" spans="1:6" ht="66" customHeight="1">
      <c r="A517" s="3" t="s">
        <v>1669</v>
      </c>
      <c r="B517" s="3" t="s">
        <v>2119</v>
      </c>
      <c r="C517" s="3" t="s">
        <v>1362</v>
      </c>
      <c r="D517" s="3" t="s">
        <v>1366</v>
      </c>
      <c r="E517" s="3" t="s">
        <v>2120</v>
      </c>
      <c r="F517" s="3" t="s">
        <v>681</v>
      </c>
    </row>
    <row r="518" spans="1:6" ht="66" customHeight="1">
      <c r="A518" s="3" t="s">
        <v>1669</v>
      </c>
      <c r="B518" s="3" t="s">
        <v>2121</v>
      </c>
      <c r="C518" s="3" t="s">
        <v>1362</v>
      </c>
      <c r="D518" s="3" t="s">
        <v>1366</v>
      </c>
      <c r="E518" s="3" t="s">
        <v>1492</v>
      </c>
      <c r="F518" s="3" t="s">
        <v>686</v>
      </c>
    </row>
    <row r="519" spans="1:6" ht="66" customHeight="1">
      <c r="A519" s="3" t="s">
        <v>1669</v>
      </c>
      <c r="B519" s="3" t="s">
        <v>687</v>
      </c>
      <c r="C519" s="3" t="s">
        <v>1359</v>
      </c>
      <c r="D519" s="3" t="s">
        <v>1672</v>
      </c>
      <c r="E519" s="3" t="s">
        <v>684</v>
      </c>
      <c r="F519" s="3" t="s">
        <v>686</v>
      </c>
    </row>
    <row r="520" spans="1:6" ht="66" customHeight="1">
      <c r="A520" s="3" t="s">
        <v>1669</v>
      </c>
      <c r="B520" s="3" t="s">
        <v>2122</v>
      </c>
      <c r="C520" s="3" t="s">
        <v>1762</v>
      </c>
      <c r="D520" s="3" t="s">
        <v>2123</v>
      </c>
      <c r="E520" s="3" t="s">
        <v>2124</v>
      </c>
      <c r="F520" s="3" t="s">
        <v>696</v>
      </c>
    </row>
    <row r="521" spans="1:6" ht="66" customHeight="1">
      <c r="A521" s="3" t="s">
        <v>1669</v>
      </c>
      <c r="B521" s="3" t="s">
        <v>2125</v>
      </c>
      <c r="C521" s="3" t="s">
        <v>1362</v>
      </c>
      <c r="D521" s="3" t="s">
        <v>1366</v>
      </c>
      <c r="E521" s="3" t="s">
        <v>2126</v>
      </c>
      <c r="F521" s="3" t="s">
        <v>2127</v>
      </c>
    </row>
    <row r="522" spans="1:6" ht="66" customHeight="1">
      <c r="A522" s="3" t="s">
        <v>1669</v>
      </c>
      <c r="B522" s="3" t="s">
        <v>2128</v>
      </c>
      <c r="C522" s="3" t="s">
        <v>1362</v>
      </c>
      <c r="D522" s="3" t="s">
        <v>1366</v>
      </c>
      <c r="E522" s="3" t="s">
        <v>2129</v>
      </c>
      <c r="F522" s="3" t="s">
        <v>1501</v>
      </c>
    </row>
    <row r="523" spans="1:6" ht="66" customHeight="1">
      <c r="A523" s="3" t="s">
        <v>1669</v>
      </c>
      <c r="B523" s="3" t="s">
        <v>2130</v>
      </c>
      <c r="C523" s="3" t="s">
        <v>1362</v>
      </c>
      <c r="D523" s="3" t="s">
        <v>1366</v>
      </c>
      <c r="E523" s="3" t="s">
        <v>1500</v>
      </c>
      <c r="F523" s="3" t="s">
        <v>1501</v>
      </c>
    </row>
    <row r="524" spans="1:6" ht="66" customHeight="1">
      <c r="A524" s="3" t="s">
        <v>1669</v>
      </c>
      <c r="B524" s="3" t="s">
        <v>702</v>
      </c>
      <c r="C524" s="3" t="s">
        <v>1359</v>
      </c>
      <c r="D524" s="3" t="s">
        <v>1672</v>
      </c>
      <c r="E524" s="3" t="s">
        <v>699</v>
      </c>
      <c r="F524" s="3" t="s">
        <v>701</v>
      </c>
    </row>
    <row r="525" spans="1:6" ht="66" customHeight="1">
      <c r="A525" s="3" t="s">
        <v>1669</v>
      </c>
      <c r="B525" s="3" t="s">
        <v>2131</v>
      </c>
      <c r="C525" s="3" t="s">
        <v>1362</v>
      </c>
      <c r="D525" s="3" t="s">
        <v>1366</v>
      </c>
      <c r="E525" s="3" t="s">
        <v>2132</v>
      </c>
      <c r="F525" s="3" t="s">
        <v>1506</v>
      </c>
    </row>
    <row r="526" spans="1:6" ht="66" customHeight="1">
      <c r="A526" s="3" t="s">
        <v>1669</v>
      </c>
      <c r="B526" s="3" t="s">
        <v>2133</v>
      </c>
      <c r="C526" s="3" t="s">
        <v>1362</v>
      </c>
      <c r="D526" s="3" t="s">
        <v>1366</v>
      </c>
      <c r="E526" s="3" t="s">
        <v>1512</v>
      </c>
      <c r="F526" s="3" t="s">
        <v>2134</v>
      </c>
    </row>
    <row r="527" spans="1:6" ht="66" customHeight="1">
      <c r="A527" s="3" t="s">
        <v>1669</v>
      </c>
      <c r="B527" s="3" t="s">
        <v>2135</v>
      </c>
      <c r="C527" s="3" t="s">
        <v>1362</v>
      </c>
      <c r="D527" s="3" t="s">
        <v>1366</v>
      </c>
      <c r="E527" s="3" t="s">
        <v>1510</v>
      </c>
      <c r="F527" s="3" t="s">
        <v>2134</v>
      </c>
    </row>
    <row r="528" spans="1:6" ht="66" customHeight="1">
      <c r="A528" s="3" t="s">
        <v>1669</v>
      </c>
      <c r="B528" s="3" t="s">
        <v>2136</v>
      </c>
      <c r="C528" s="3" t="s">
        <v>1362</v>
      </c>
      <c r="D528" s="3" t="s">
        <v>1366</v>
      </c>
      <c r="E528" s="3" t="s">
        <v>2137</v>
      </c>
      <c r="F528" s="3" t="s">
        <v>1515</v>
      </c>
    </row>
    <row r="529" spans="1:6" ht="66" customHeight="1">
      <c r="A529" s="3" t="s">
        <v>1669</v>
      </c>
      <c r="B529" s="3" t="s">
        <v>2138</v>
      </c>
      <c r="C529" s="3" t="s">
        <v>1362</v>
      </c>
      <c r="D529" s="3" t="s">
        <v>1366</v>
      </c>
      <c r="E529" s="3" t="s">
        <v>1514</v>
      </c>
      <c r="F529" s="3" t="s">
        <v>2139</v>
      </c>
    </row>
    <row r="530" spans="1:6" ht="66" customHeight="1">
      <c r="A530" s="3" t="s">
        <v>1669</v>
      </c>
      <c r="B530" s="3" t="s">
        <v>2140</v>
      </c>
      <c r="C530" s="3" t="s">
        <v>1362</v>
      </c>
      <c r="D530" s="3" t="s">
        <v>1366</v>
      </c>
      <c r="E530" s="3" t="s">
        <v>1517</v>
      </c>
      <c r="F530" s="3" t="s">
        <v>1518</v>
      </c>
    </row>
    <row r="531" spans="1:6" ht="66" customHeight="1">
      <c r="A531" s="3" t="s">
        <v>1669</v>
      </c>
      <c r="B531" s="3" t="s">
        <v>2141</v>
      </c>
      <c r="C531" s="3" t="s">
        <v>1362</v>
      </c>
      <c r="D531" s="3" t="s">
        <v>1366</v>
      </c>
      <c r="E531" s="3" t="s">
        <v>2142</v>
      </c>
      <c r="F531" s="3" t="s">
        <v>2143</v>
      </c>
    </row>
    <row r="532" spans="1:6" ht="66" customHeight="1">
      <c r="A532" s="3" t="s">
        <v>1669</v>
      </c>
      <c r="B532" s="3" t="s">
        <v>707</v>
      </c>
      <c r="C532" s="3" t="s">
        <v>1359</v>
      </c>
      <c r="D532" s="3" t="s">
        <v>1672</v>
      </c>
      <c r="E532" s="3" t="s">
        <v>704</v>
      </c>
      <c r="F532" s="3" t="s">
        <v>706</v>
      </c>
    </row>
    <row r="533" spans="1:6" ht="66" customHeight="1">
      <c r="A533" s="3" t="s">
        <v>1669</v>
      </c>
      <c r="B533" s="3" t="s">
        <v>2144</v>
      </c>
      <c r="C533" s="3" t="s">
        <v>1362</v>
      </c>
      <c r="D533" s="3" t="s">
        <v>1366</v>
      </c>
      <c r="E533" s="3" t="s">
        <v>1520</v>
      </c>
      <c r="F533" s="3" t="s">
        <v>2145</v>
      </c>
    </row>
    <row r="534" spans="1:6" ht="66" customHeight="1">
      <c r="A534" s="3" t="s">
        <v>1669</v>
      </c>
      <c r="B534" s="3" t="s">
        <v>2146</v>
      </c>
      <c r="C534" s="3" t="s">
        <v>1362</v>
      </c>
      <c r="D534" s="3" t="s">
        <v>1366</v>
      </c>
      <c r="E534" s="3" t="s">
        <v>2147</v>
      </c>
      <c r="F534" s="3" t="s">
        <v>2148</v>
      </c>
    </row>
    <row r="535" spans="1:6" ht="66" customHeight="1">
      <c r="A535" s="3" t="s">
        <v>1669</v>
      </c>
      <c r="B535" s="3" t="s">
        <v>712</v>
      </c>
      <c r="C535" s="3" t="s">
        <v>1359</v>
      </c>
      <c r="D535" s="3" t="s">
        <v>1672</v>
      </c>
      <c r="E535" s="3" t="s">
        <v>709</v>
      </c>
      <c r="F535" s="3" t="s">
        <v>711</v>
      </c>
    </row>
    <row r="536" spans="1:6" ht="66" customHeight="1">
      <c r="A536" s="3" t="s">
        <v>1669</v>
      </c>
      <c r="B536" s="3" t="s">
        <v>2149</v>
      </c>
      <c r="C536" s="3" t="s">
        <v>1362</v>
      </c>
      <c r="D536" s="3" t="s">
        <v>1366</v>
      </c>
      <c r="E536" s="3" t="s">
        <v>2150</v>
      </c>
      <c r="F536" s="3" t="s">
        <v>2151</v>
      </c>
    </row>
    <row r="537" spans="1:6" ht="66" customHeight="1">
      <c r="A537" s="3" t="s">
        <v>1669</v>
      </c>
      <c r="B537" s="3" t="s">
        <v>2152</v>
      </c>
      <c r="C537" s="3" t="s">
        <v>1762</v>
      </c>
      <c r="D537" s="3" t="s">
        <v>2153</v>
      </c>
      <c r="E537" s="3" t="s">
        <v>714</v>
      </c>
      <c r="F537" s="3" t="s">
        <v>2154</v>
      </c>
    </row>
    <row r="538" spans="1:6" ht="66" customHeight="1">
      <c r="A538" s="3" t="s">
        <v>1669</v>
      </c>
      <c r="B538" s="3" t="s">
        <v>2155</v>
      </c>
      <c r="C538" s="3" t="s">
        <v>1762</v>
      </c>
      <c r="D538" s="3" t="s">
        <v>2156</v>
      </c>
      <c r="E538" s="3" t="s">
        <v>2157</v>
      </c>
      <c r="F538" s="3" t="s">
        <v>2158</v>
      </c>
    </row>
    <row r="539" spans="1:6" ht="66" customHeight="1">
      <c r="A539" s="3" t="s">
        <v>1669</v>
      </c>
      <c r="B539" s="3" t="s">
        <v>2159</v>
      </c>
      <c r="C539" s="3" t="s">
        <v>1362</v>
      </c>
      <c r="D539" s="3" t="s">
        <v>1366</v>
      </c>
      <c r="E539" s="3" t="s">
        <v>2160</v>
      </c>
      <c r="F539" s="3" t="s">
        <v>2161</v>
      </c>
    </row>
    <row r="540" spans="1:6" ht="66" customHeight="1">
      <c r="A540" s="3" t="s">
        <v>1669</v>
      </c>
      <c r="B540" s="3" t="s">
        <v>2162</v>
      </c>
      <c r="C540" s="3" t="s">
        <v>1362</v>
      </c>
      <c r="D540" s="3" t="s">
        <v>1366</v>
      </c>
      <c r="E540" s="3" t="s">
        <v>1524</v>
      </c>
      <c r="F540" s="3" t="s">
        <v>1525</v>
      </c>
    </row>
    <row r="541" spans="1:6" ht="66" customHeight="1">
      <c r="A541" s="3" t="s">
        <v>1669</v>
      </c>
      <c r="B541" s="3" t="s">
        <v>2163</v>
      </c>
      <c r="C541" s="3" t="s">
        <v>1362</v>
      </c>
      <c r="D541" s="3" t="s">
        <v>1366</v>
      </c>
      <c r="E541" s="3" t="s">
        <v>1527</v>
      </c>
      <c r="F541" s="3" t="s">
        <v>1528</v>
      </c>
    </row>
    <row r="542" spans="1:6" ht="66" customHeight="1">
      <c r="A542" s="3" t="s">
        <v>1669</v>
      </c>
      <c r="B542" s="3" t="s">
        <v>2164</v>
      </c>
      <c r="C542" s="3" t="s">
        <v>1362</v>
      </c>
      <c r="D542" s="3" t="s">
        <v>1366</v>
      </c>
      <c r="E542" s="3" t="s">
        <v>1532</v>
      </c>
      <c r="F542" s="3" t="s">
        <v>2165</v>
      </c>
    </row>
    <row r="543" spans="1:6" ht="66" customHeight="1">
      <c r="A543" s="3" t="s">
        <v>1669</v>
      </c>
      <c r="B543" s="3" t="s">
        <v>2166</v>
      </c>
      <c r="C543" s="3" t="s">
        <v>1362</v>
      </c>
      <c r="D543" s="3" t="s">
        <v>1366</v>
      </c>
      <c r="E543" s="3" t="s">
        <v>2167</v>
      </c>
      <c r="F543" s="3" t="s">
        <v>2165</v>
      </c>
    </row>
    <row r="544" spans="1:6" ht="66" customHeight="1">
      <c r="A544" s="3" t="s">
        <v>1669</v>
      </c>
      <c r="B544" s="3" t="s">
        <v>2168</v>
      </c>
      <c r="C544" s="3" t="s">
        <v>1362</v>
      </c>
      <c r="D544" s="3" t="s">
        <v>1366</v>
      </c>
      <c r="E544" s="3" t="s">
        <v>2169</v>
      </c>
      <c r="F544" s="3" t="s">
        <v>1528</v>
      </c>
    </row>
    <row r="545" spans="1:6" ht="66" customHeight="1">
      <c r="A545" s="3" t="s">
        <v>1669</v>
      </c>
      <c r="B545" s="3" t="s">
        <v>2170</v>
      </c>
      <c r="C545" s="3" t="s">
        <v>1362</v>
      </c>
      <c r="D545" s="3" t="s">
        <v>1366</v>
      </c>
      <c r="E545" s="3" t="s">
        <v>2171</v>
      </c>
      <c r="F545" s="3" t="s">
        <v>2172</v>
      </c>
    </row>
    <row r="546" spans="1:6" ht="66" customHeight="1">
      <c r="A546" s="3" t="s">
        <v>1669</v>
      </c>
      <c r="B546" s="3" t="s">
        <v>2173</v>
      </c>
      <c r="C546" s="3" t="s">
        <v>1362</v>
      </c>
      <c r="D546" s="3" t="s">
        <v>1366</v>
      </c>
      <c r="E546" s="3" t="s">
        <v>1534</v>
      </c>
      <c r="F546" s="3" t="s">
        <v>1535</v>
      </c>
    </row>
    <row r="547" spans="1:6" ht="66" customHeight="1">
      <c r="A547" s="3" t="s">
        <v>1669</v>
      </c>
      <c r="B547" s="3" t="s">
        <v>2174</v>
      </c>
      <c r="C547" s="3" t="s">
        <v>1362</v>
      </c>
      <c r="D547" s="3" t="s">
        <v>1366</v>
      </c>
      <c r="E547" s="3" t="s">
        <v>2175</v>
      </c>
      <c r="F547" s="3" t="s">
        <v>2176</v>
      </c>
    </row>
    <row r="548" spans="1:6" ht="66" customHeight="1">
      <c r="A548" s="3" t="s">
        <v>1669</v>
      </c>
      <c r="B548" s="3" t="s">
        <v>2177</v>
      </c>
      <c r="C548" s="3" t="s">
        <v>1362</v>
      </c>
      <c r="D548" s="3" t="s">
        <v>1366</v>
      </c>
      <c r="E548" s="3" t="s">
        <v>2178</v>
      </c>
      <c r="F548" s="3" t="s">
        <v>1540</v>
      </c>
    </row>
    <row r="549" spans="1:6" ht="66" customHeight="1">
      <c r="A549" s="3" t="s">
        <v>1669</v>
      </c>
      <c r="B549" s="3" t="s">
        <v>2179</v>
      </c>
      <c r="C549" s="3" t="s">
        <v>1362</v>
      </c>
      <c r="D549" s="3" t="s">
        <v>1366</v>
      </c>
      <c r="E549" s="3" t="s">
        <v>2180</v>
      </c>
      <c r="F549" s="3" t="s">
        <v>2181</v>
      </c>
    </row>
    <row r="550" spans="1:6" ht="66" customHeight="1">
      <c r="A550" s="3" t="s">
        <v>1669</v>
      </c>
      <c r="B550" s="3" t="s">
        <v>2182</v>
      </c>
      <c r="C550" s="3" t="s">
        <v>1362</v>
      </c>
      <c r="D550" s="3" t="s">
        <v>1366</v>
      </c>
      <c r="E550" s="3" t="s">
        <v>1542</v>
      </c>
      <c r="F550" s="3" t="s">
        <v>726</v>
      </c>
    </row>
    <row r="551" spans="1:6" ht="66" customHeight="1">
      <c r="A551" s="3" t="s">
        <v>1669</v>
      </c>
      <c r="B551" s="3" t="s">
        <v>2183</v>
      </c>
      <c r="C551" s="3" t="s">
        <v>1362</v>
      </c>
      <c r="D551" s="3" t="s">
        <v>1366</v>
      </c>
      <c r="E551" s="3" t="s">
        <v>1544</v>
      </c>
      <c r="F551" s="3" t="s">
        <v>2181</v>
      </c>
    </row>
    <row r="552" spans="1:6" ht="66" customHeight="1">
      <c r="A552" s="3" t="s">
        <v>1669</v>
      </c>
      <c r="B552" s="3" t="s">
        <v>2184</v>
      </c>
      <c r="C552" s="3" t="s">
        <v>1362</v>
      </c>
      <c r="D552" s="3" t="s">
        <v>1366</v>
      </c>
      <c r="E552" s="3" t="s">
        <v>724</v>
      </c>
      <c r="F552" s="3" t="s">
        <v>726</v>
      </c>
    </row>
    <row r="553" spans="1:6" ht="66" customHeight="1">
      <c r="A553" s="3" t="s">
        <v>1669</v>
      </c>
      <c r="B553" s="3" t="s">
        <v>2185</v>
      </c>
      <c r="C553" s="3" t="s">
        <v>1762</v>
      </c>
      <c r="D553" s="3" t="s">
        <v>2186</v>
      </c>
      <c r="E553" s="3" t="s">
        <v>729</v>
      </c>
      <c r="F553" s="3" t="s">
        <v>731</v>
      </c>
    </row>
    <row r="554" spans="1:6" ht="66" customHeight="1">
      <c r="A554" s="3" t="s">
        <v>1669</v>
      </c>
      <c r="B554" s="3" t="s">
        <v>2187</v>
      </c>
      <c r="C554" s="3" t="s">
        <v>1362</v>
      </c>
      <c r="D554" s="3" t="s">
        <v>1366</v>
      </c>
      <c r="E554" s="3" t="s">
        <v>1728</v>
      </c>
      <c r="F554" s="3" t="s">
        <v>731</v>
      </c>
    </row>
    <row r="555" spans="1:6" ht="66" customHeight="1">
      <c r="A555" s="3" t="s">
        <v>1669</v>
      </c>
      <c r="B555" s="3" t="s">
        <v>2188</v>
      </c>
      <c r="C555" s="3" t="s">
        <v>1362</v>
      </c>
      <c r="D555" s="3" t="s">
        <v>1366</v>
      </c>
      <c r="E555" s="3" t="s">
        <v>2189</v>
      </c>
      <c r="F555" s="3" t="s">
        <v>2190</v>
      </c>
    </row>
    <row r="556" spans="1:6" ht="66" customHeight="1">
      <c r="A556" s="3" t="s">
        <v>1669</v>
      </c>
      <c r="B556" s="3" t="s">
        <v>2191</v>
      </c>
      <c r="C556" s="3" t="s">
        <v>1362</v>
      </c>
      <c r="D556" s="3" t="s">
        <v>1366</v>
      </c>
      <c r="E556" s="3" t="s">
        <v>734</v>
      </c>
      <c r="F556" s="3" t="s">
        <v>736</v>
      </c>
    </row>
    <row r="557" spans="1:6" ht="66" customHeight="1">
      <c r="A557" s="3" t="s">
        <v>1669</v>
      </c>
      <c r="B557" s="3" t="s">
        <v>2192</v>
      </c>
      <c r="C557" s="3" t="s">
        <v>1362</v>
      </c>
      <c r="D557" s="3" t="s">
        <v>1625</v>
      </c>
      <c r="E557" s="3" t="s">
        <v>2193</v>
      </c>
      <c r="F557" s="3" t="s">
        <v>741</v>
      </c>
    </row>
    <row r="558" spans="1:6" ht="66" customHeight="1">
      <c r="A558" s="3" t="s">
        <v>1669</v>
      </c>
      <c r="B558" s="3" t="s">
        <v>742</v>
      </c>
      <c r="C558" s="3" t="s">
        <v>1359</v>
      </c>
      <c r="D558" s="3" t="s">
        <v>1672</v>
      </c>
      <c r="E558" s="3" t="s">
        <v>739</v>
      </c>
      <c r="F558" s="3" t="s">
        <v>741</v>
      </c>
    </row>
    <row r="559" spans="1:6" ht="66" customHeight="1">
      <c r="A559" s="3" t="s">
        <v>1669</v>
      </c>
      <c r="B559" s="3" t="s">
        <v>2194</v>
      </c>
      <c r="C559" s="3" t="s">
        <v>1362</v>
      </c>
      <c r="D559" s="3" t="s">
        <v>2195</v>
      </c>
      <c r="E559" s="3" t="s">
        <v>2196</v>
      </c>
      <c r="F559" s="3" t="s">
        <v>741</v>
      </c>
    </row>
    <row r="560" spans="1:6" ht="66" customHeight="1">
      <c r="A560" s="3" t="s">
        <v>1669</v>
      </c>
      <c r="B560" s="3" t="s">
        <v>2197</v>
      </c>
      <c r="C560" s="3" t="s">
        <v>1362</v>
      </c>
      <c r="D560" s="3" t="s">
        <v>1366</v>
      </c>
      <c r="E560" s="3" t="s">
        <v>2198</v>
      </c>
      <c r="F560" s="3" t="s">
        <v>741</v>
      </c>
    </row>
    <row r="561" spans="1:6" ht="66" customHeight="1">
      <c r="A561" s="3" t="s">
        <v>1669</v>
      </c>
      <c r="B561" s="3" t="s">
        <v>2199</v>
      </c>
      <c r="C561" s="3" t="s">
        <v>1362</v>
      </c>
      <c r="D561" s="3" t="s">
        <v>2195</v>
      </c>
      <c r="E561" s="3" t="s">
        <v>2200</v>
      </c>
      <c r="F561" s="3" t="s">
        <v>741</v>
      </c>
    </row>
    <row r="562" spans="1:6" ht="66" customHeight="1">
      <c r="A562" s="3" t="s">
        <v>1669</v>
      </c>
      <c r="B562" s="3" t="s">
        <v>2201</v>
      </c>
      <c r="C562" s="3" t="s">
        <v>1362</v>
      </c>
      <c r="D562" s="3" t="s">
        <v>2195</v>
      </c>
      <c r="E562" s="3" t="s">
        <v>2202</v>
      </c>
      <c r="F562" s="3" t="s">
        <v>741</v>
      </c>
    </row>
    <row r="563" spans="1:6" ht="66" customHeight="1">
      <c r="A563" s="3" t="s">
        <v>1669</v>
      </c>
      <c r="B563" s="3" t="s">
        <v>2203</v>
      </c>
      <c r="C563" s="3" t="s">
        <v>1362</v>
      </c>
      <c r="D563" s="3" t="s">
        <v>2195</v>
      </c>
      <c r="E563" s="3" t="s">
        <v>2204</v>
      </c>
      <c r="F563" s="3" t="s">
        <v>741</v>
      </c>
    </row>
    <row r="564" spans="1:6" ht="66" customHeight="1">
      <c r="A564" s="3" t="s">
        <v>1669</v>
      </c>
      <c r="B564" s="3" t="s">
        <v>2205</v>
      </c>
      <c r="C564" s="3" t="s">
        <v>1362</v>
      </c>
      <c r="D564" s="3" t="s">
        <v>2195</v>
      </c>
      <c r="E564" s="3" t="s">
        <v>2206</v>
      </c>
      <c r="F564" s="3" t="s">
        <v>741</v>
      </c>
    </row>
    <row r="565" spans="1:6" ht="66" customHeight="1">
      <c r="A565" s="3" t="s">
        <v>1669</v>
      </c>
      <c r="B565" s="3" t="s">
        <v>2207</v>
      </c>
      <c r="C565" s="3" t="s">
        <v>1362</v>
      </c>
      <c r="D565" s="3" t="s">
        <v>2195</v>
      </c>
      <c r="E565" s="3" t="s">
        <v>2208</v>
      </c>
      <c r="F565" s="3" t="s">
        <v>741</v>
      </c>
    </row>
    <row r="566" spans="1:6" ht="66" customHeight="1">
      <c r="A566" s="3" t="s">
        <v>1669</v>
      </c>
      <c r="B566" s="3" t="s">
        <v>2209</v>
      </c>
      <c r="C566" s="3" t="s">
        <v>1362</v>
      </c>
      <c r="D566" s="3" t="s">
        <v>2195</v>
      </c>
      <c r="E566" s="3" t="s">
        <v>2210</v>
      </c>
      <c r="F566" s="3" t="s">
        <v>741</v>
      </c>
    </row>
    <row r="567" spans="1:6" ht="66" customHeight="1">
      <c r="A567" s="3" t="s">
        <v>1669</v>
      </c>
      <c r="B567" s="3" t="s">
        <v>2211</v>
      </c>
      <c r="C567" s="3" t="s">
        <v>1362</v>
      </c>
      <c r="D567" s="3" t="s">
        <v>1366</v>
      </c>
      <c r="E567" s="3" t="s">
        <v>2212</v>
      </c>
      <c r="F567" s="3" t="s">
        <v>741</v>
      </c>
    </row>
    <row r="568" spans="1:6" ht="66" customHeight="1">
      <c r="A568" s="3" t="s">
        <v>1669</v>
      </c>
      <c r="B568" s="3" t="s">
        <v>2213</v>
      </c>
      <c r="C568" s="3" t="s">
        <v>1362</v>
      </c>
      <c r="D568" s="3" t="s">
        <v>1366</v>
      </c>
      <c r="E568" s="3" t="s">
        <v>2214</v>
      </c>
      <c r="F568" s="3" t="s">
        <v>741</v>
      </c>
    </row>
    <row r="569" spans="1:6" ht="66" customHeight="1">
      <c r="A569" s="3" t="s">
        <v>1669</v>
      </c>
      <c r="B569" s="3" t="s">
        <v>747</v>
      </c>
      <c r="C569" s="3" t="s">
        <v>1359</v>
      </c>
      <c r="D569" s="3" t="s">
        <v>1672</v>
      </c>
      <c r="E569" s="3" t="s">
        <v>744</v>
      </c>
      <c r="F569" s="3" t="s">
        <v>741</v>
      </c>
    </row>
    <row r="570" spans="1:6" ht="66" customHeight="1">
      <c r="A570" s="3" t="s">
        <v>1669</v>
      </c>
      <c r="B570" s="3" t="s">
        <v>2215</v>
      </c>
      <c r="C570" s="3" t="s">
        <v>1362</v>
      </c>
      <c r="D570" s="3" t="s">
        <v>1366</v>
      </c>
      <c r="E570" s="3" t="s">
        <v>2216</v>
      </c>
      <c r="F570" s="3" t="s">
        <v>741</v>
      </c>
    </row>
    <row r="571" spans="1:6" ht="66" customHeight="1">
      <c r="A571" s="3" t="s">
        <v>1669</v>
      </c>
      <c r="B571" s="3" t="s">
        <v>752</v>
      </c>
      <c r="C571" s="3" t="s">
        <v>1359</v>
      </c>
      <c r="D571" s="3" t="s">
        <v>1672</v>
      </c>
      <c r="E571" s="3" t="s">
        <v>749</v>
      </c>
      <c r="F571" s="3" t="s">
        <v>741</v>
      </c>
    </row>
    <row r="572" spans="1:6" ht="66" customHeight="1">
      <c r="A572" s="3" t="s">
        <v>1669</v>
      </c>
      <c r="B572" s="3" t="s">
        <v>756</v>
      </c>
      <c r="C572" s="3" t="s">
        <v>1359</v>
      </c>
      <c r="D572" s="3" t="s">
        <v>1672</v>
      </c>
      <c r="E572" s="3" t="s">
        <v>754</v>
      </c>
      <c r="F572" s="3" t="s">
        <v>741</v>
      </c>
    </row>
    <row r="573" spans="1:6" ht="66" customHeight="1">
      <c r="A573" s="3" t="s">
        <v>1669</v>
      </c>
      <c r="B573" s="3" t="s">
        <v>2217</v>
      </c>
      <c r="C573" s="3" t="s">
        <v>1362</v>
      </c>
      <c r="D573" s="3" t="s">
        <v>2195</v>
      </c>
      <c r="E573" s="3" t="s">
        <v>2218</v>
      </c>
      <c r="F573" s="3" t="s">
        <v>741</v>
      </c>
    </row>
    <row r="574" spans="1:6" ht="66" customHeight="1">
      <c r="A574" s="3" t="s">
        <v>1669</v>
      </c>
      <c r="B574" s="3" t="s">
        <v>760</v>
      </c>
      <c r="C574" s="3" t="s">
        <v>1359</v>
      </c>
      <c r="D574" s="3" t="s">
        <v>1672</v>
      </c>
      <c r="E574" s="3" t="s">
        <v>758</v>
      </c>
      <c r="F574" s="3" t="s">
        <v>741</v>
      </c>
    </row>
    <row r="575" spans="1:6" ht="66" customHeight="1">
      <c r="A575" s="3" t="s">
        <v>1669</v>
      </c>
      <c r="B575" s="3" t="s">
        <v>764</v>
      </c>
      <c r="C575" s="3" t="s">
        <v>1359</v>
      </c>
      <c r="D575" s="3" t="s">
        <v>1672</v>
      </c>
      <c r="E575" s="3" t="s">
        <v>762</v>
      </c>
      <c r="F575" s="3" t="s">
        <v>741</v>
      </c>
    </row>
    <row r="576" spans="1:6" ht="66" customHeight="1">
      <c r="A576" s="3" t="s">
        <v>1669</v>
      </c>
      <c r="B576" s="3" t="s">
        <v>2219</v>
      </c>
      <c r="C576" s="3" t="s">
        <v>1362</v>
      </c>
      <c r="D576" s="3" t="s">
        <v>1625</v>
      </c>
      <c r="E576" s="3" t="s">
        <v>2220</v>
      </c>
      <c r="F576" s="3" t="s">
        <v>741</v>
      </c>
    </row>
    <row r="577" spans="1:6" ht="66" customHeight="1">
      <c r="A577" s="3" t="s">
        <v>1669</v>
      </c>
      <c r="B577" s="3" t="s">
        <v>2221</v>
      </c>
      <c r="C577" s="3" t="s">
        <v>1362</v>
      </c>
      <c r="D577" s="3" t="s">
        <v>2195</v>
      </c>
      <c r="E577" s="3" t="s">
        <v>2222</v>
      </c>
      <c r="F577" s="3" t="s">
        <v>741</v>
      </c>
    </row>
    <row r="578" spans="1:6" ht="66" customHeight="1">
      <c r="A578" s="3" t="s">
        <v>1669</v>
      </c>
      <c r="B578" s="3" t="s">
        <v>768</v>
      </c>
      <c r="C578" s="3" t="s">
        <v>1359</v>
      </c>
      <c r="D578" s="3" t="s">
        <v>1672</v>
      </c>
      <c r="E578" s="3" t="s">
        <v>766</v>
      </c>
      <c r="F578" s="3" t="s">
        <v>741</v>
      </c>
    </row>
    <row r="579" spans="1:6" ht="66" customHeight="1">
      <c r="A579" s="3" t="s">
        <v>1669</v>
      </c>
      <c r="B579" s="3" t="s">
        <v>772</v>
      </c>
      <c r="C579" s="3" t="s">
        <v>1359</v>
      </c>
      <c r="D579" s="3" t="s">
        <v>1672</v>
      </c>
      <c r="E579" s="3" t="s">
        <v>770</v>
      </c>
      <c r="F579" s="3" t="s">
        <v>741</v>
      </c>
    </row>
    <row r="580" spans="1:6" ht="66" customHeight="1">
      <c r="A580" s="3" t="s">
        <v>1669</v>
      </c>
      <c r="B580" s="3" t="s">
        <v>776</v>
      </c>
      <c r="C580" s="3" t="s">
        <v>1359</v>
      </c>
      <c r="D580" s="3" t="s">
        <v>1672</v>
      </c>
      <c r="E580" s="3" t="s">
        <v>774</v>
      </c>
      <c r="F580" s="3" t="s">
        <v>741</v>
      </c>
    </row>
    <row r="581" spans="1:6" ht="66" customHeight="1">
      <c r="A581" s="3" t="s">
        <v>1669</v>
      </c>
      <c r="B581" s="3" t="s">
        <v>780</v>
      </c>
      <c r="C581" s="3" t="s">
        <v>1359</v>
      </c>
      <c r="D581" s="3" t="s">
        <v>1672</v>
      </c>
      <c r="E581" s="3" t="s">
        <v>778</v>
      </c>
      <c r="F581" s="3" t="s">
        <v>741</v>
      </c>
    </row>
    <row r="582" spans="1:6" ht="66" customHeight="1">
      <c r="A582" s="3" t="s">
        <v>1669</v>
      </c>
      <c r="B582" s="3" t="s">
        <v>784</v>
      </c>
      <c r="C582" s="3" t="s">
        <v>1359</v>
      </c>
      <c r="D582" s="3" t="s">
        <v>1672</v>
      </c>
      <c r="E582" s="3" t="s">
        <v>782</v>
      </c>
      <c r="F582" s="3" t="s">
        <v>741</v>
      </c>
    </row>
    <row r="583" spans="1:6" ht="66" customHeight="1">
      <c r="A583" s="3" t="s">
        <v>1669</v>
      </c>
      <c r="B583" s="3" t="s">
        <v>2223</v>
      </c>
      <c r="C583" s="3" t="s">
        <v>1362</v>
      </c>
      <c r="D583" s="3" t="s">
        <v>2224</v>
      </c>
      <c r="E583" s="3" t="s">
        <v>2225</v>
      </c>
      <c r="F583" s="3" t="s">
        <v>741</v>
      </c>
    </row>
    <row r="584" spans="1:6" ht="66" customHeight="1">
      <c r="A584" s="3" t="s">
        <v>1669</v>
      </c>
      <c r="B584" s="3" t="s">
        <v>2226</v>
      </c>
      <c r="C584" s="3" t="s">
        <v>1362</v>
      </c>
      <c r="D584" s="3" t="s">
        <v>1366</v>
      </c>
      <c r="E584" s="3" t="s">
        <v>2227</v>
      </c>
      <c r="F584" s="3" t="s">
        <v>741</v>
      </c>
    </row>
    <row r="585" spans="1:6" ht="66" customHeight="1">
      <c r="A585" s="3" t="s">
        <v>1669</v>
      </c>
      <c r="B585" s="3" t="s">
        <v>2228</v>
      </c>
      <c r="C585" s="3" t="s">
        <v>1762</v>
      </c>
      <c r="D585" s="3" t="s">
        <v>2229</v>
      </c>
      <c r="E585" s="3" t="s">
        <v>831</v>
      </c>
      <c r="F585" s="3" t="s">
        <v>2230</v>
      </c>
    </row>
    <row r="586" spans="1:6" ht="66" customHeight="1">
      <c r="A586" s="3" t="s">
        <v>1669</v>
      </c>
      <c r="B586" s="3" t="s">
        <v>2231</v>
      </c>
      <c r="C586" s="3" t="s">
        <v>1762</v>
      </c>
      <c r="D586" s="3" t="s">
        <v>2232</v>
      </c>
      <c r="E586" s="3" t="s">
        <v>823</v>
      </c>
      <c r="F586" s="3" t="s">
        <v>828</v>
      </c>
    </row>
    <row r="587" spans="1:6" ht="66" customHeight="1">
      <c r="A587" s="3" t="s">
        <v>1669</v>
      </c>
      <c r="B587" s="3" t="s">
        <v>2233</v>
      </c>
      <c r="C587" s="3" t="s">
        <v>1762</v>
      </c>
      <c r="D587" s="3" t="s">
        <v>2234</v>
      </c>
      <c r="E587" s="3" t="s">
        <v>2235</v>
      </c>
      <c r="F587" s="3" t="s">
        <v>2236</v>
      </c>
    </row>
    <row r="588" spans="1:6" ht="66" customHeight="1">
      <c r="A588" s="3" t="s">
        <v>1669</v>
      </c>
      <c r="B588" s="3" t="s">
        <v>2237</v>
      </c>
      <c r="C588" s="3" t="s">
        <v>1762</v>
      </c>
      <c r="D588" s="3" t="s">
        <v>2238</v>
      </c>
      <c r="E588" s="3" t="s">
        <v>835</v>
      </c>
      <c r="F588" s="3" t="s">
        <v>837</v>
      </c>
    </row>
    <row r="589" spans="1:6" ht="66" customHeight="1">
      <c r="A589" s="3" t="s">
        <v>1669</v>
      </c>
      <c r="B589" s="3" t="s">
        <v>2239</v>
      </c>
      <c r="C589" s="3" t="s">
        <v>1762</v>
      </c>
      <c r="D589" s="3" t="s">
        <v>2240</v>
      </c>
      <c r="E589" s="3" t="s">
        <v>840</v>
      </c>
      <c r="F589" s="3" t="s">
        <v>837</v>
      </c>
    </row>
    <row r="590" spans="1:6" ht="66" customHeight="1">
      <c r="A590" s="3" t="s">
        <v>1669</v>
      </c>
      <c r="B590" s="3" t="s">
        <v>2241</v>
      </c>
      <c r="C590" s="3" t="s">
        <v>1762</v>
      </c>
      <c r="D590" s="3" t="s">
        <v>2242</v>
      </c>
      <c r="E590" s="3" t="s">
        <v>2243</v>
      </c>
      <c r="F590" s="3" t="s">
        <v>2244</v>
      </c>
    </row>
    <row r="591" spans="1:6" ht="66" customHeight="1">
      <c r="A591" s="3" t="s">
        <v>1669</v>
      </c>
      <c r="B591" s="3" t="s">
        <v>2245</v>
      </c>
      <c r="C591" s="3" t="s">
        <v>1362</v>
      </c>
      <c r="D591" s="3" t="s">
        <v>1366</v>
      </c>
      <c r="E591" s="3" t="s">
        <v>2246</v>
      </c>
      <c r="F591" s="3" t="s">
        <v>850</v>
      </c>
    </row>
    <row r="592" spans="1:6" ht="66" customHeight="1">
      <c r="A592" s="3" t="s">
        <v>1669</v>
      </c>
      <c r="B592" s="3" t="s">
        <v>2247</v>
      </c>
      <c r="C592" s="3" t="s">
        <v>1362</v>
      </c>
      <c r="D592" s="3" t="s">
        <v>1366</v>
      </c>
      <c r="E592" s="3" t="s">
        <v>2248</v>
      </c>
      <c r="F592" s="3" t="s">
        <v>850</v>
      </c>
    </row>
    <row r="593" spans="1:6" ht="66" customHeight="1">
      <c r="A593" s="3" t="s">
        <v>1669</v>
      </c>
      <c r="B593" s="3" t="s">
        <v>2249</v>
      </c>
      <c r="C593" s="3" t="s">
        <v>1362</v>
      </c>
      <c r="D593" s="3" t="s">
        <v>1366</v>
      </c>
      <c r="E593" s="3" t="s">
        <v>2250</v>
      </c>
      <c r="F593" s="3" t="s">
        <v>2251</v>
      </c>
    </row>
    <row r="594" spans="1:6" ht="66" customHeight="1">
      <c r="A594" s="3" t="s">
        <v>1669</v>
      </c>
      <c r="B594" s="3" t="s">
        <v>2252</v>
      </c>
      <c r="C594" s="3" t="s">
        <v>1762</v>
      </c>
      <c r="D594" s="3" t="s">
        <v>2253</v>
      </c>
      <c r="E594" s="3" t="s">
        <v>2254</v>
      </c>
      <c r="F594" s="3" t="s">
        <v>2255</v>
      </c>
    </row>
    <row r="595" spans="1:6" ht="66" customHeight="1">
      <c r="A595" s="3" t="s">
        <v>1669</v>
      </c>
      <c r="B595" s="3" t="s">
        <v>2256</v>
      </c>
      <c r="C595" s="3" t="s">
        <v>1762</v>
      </c>
      <c r="D595" s="3" t="s">
        <v>2257</v>
      </c>
      <c r="E595" s="3" t="s">
        <v>863</v>
      </c>
      <c r="F595" s="3" t="s">
        <v>865</v>
      </c>
    </row>
    <row r="596" spans="1:6" ht="66" customHeight="1">
      <c r="A596" s="3" t="s">
        <v>1669</v>
      </c>
      <c r="B596" s="3" t="s">
        <v>2258</v>
      </c>
      <c r="C596" s="3" t="s">
        <v>1762</v>
      </c>
      <c r="D596" s="3" t="s">
        <v>2259</v>
      </c>
      <c r="E596" s="3" t="s">
        <v>868</v>
      </c>
      <c r="F596" s="3" t="s">
        <v>865</v>
      </c>
    </row>
    <row r="597" spans="1:6" ht="66" customHeight="1">
      <c r="A597" s="3" t="s">
        <v>1669</v>
      </c>
      <c r="B597" s="3" t="s">
        <v>2260</v>
      </c>
      <c r="C597" s="3" t="s">
        <v>1762</v>
      </c>
      <c r="D597" s="3" t="s">
        <v>2261</v>
      </c>
      <c r="E597" s="3" t="s">
        <v>2262</v>
      </c>
      <c r="F597" s="3" t="s">
        <v>2263</v>
      </c>
    </row>
    <row r="598" spans="1:6" ht="66" customHeight="1">
      <c r="A598" s="3" t="s">
        <v>1669</v>
      </c>
      <c r="B598" s="3" t="s">
        <v>2264</v>
      </c>
      <c r="C598" s="3" t="s">
        <v>1362</v>
      </c>
      <c r="D598" s="3" t="s">
        <v>1366</v>
      </c>
      <c r="E598" s="3" t="s">
        <v>2265</v>
      </c>
      <c r="F598" s="3" t="s">
        <v>878</v>
      </c>
    </row>
    <row r="599" spans="1:6" ht="66" customHeight="1">
      <c r="A599" s="3" t="s">
        <v>1669</v>
      </c>
      <c r="B599" s="3" t="s">
        <v>879</v>
      </c>
      <c r="C599" s="3" t="s">
        <v>1359</v>
      </c>
      <c r="D599" s="3" t="s">
        <v>1672</v>
      </c>
      <c r="E599" s="3" t="s">
        <v>876</v>
      </c>
      <c r="F599" s="3" t="s">
        <v>878</v>
      </c>
    </row>
    <row r="600" spans="1:6" ht="66" customHeight="1">
      <c r="A600" s="3" t="s">
        <v>1669</v>
      </c>
      <c r="B600" s="3" t="s">
        <v>883</v>
      </c>
      <c r="C600" s="3" t="s">
        <v>1359</v>
      </c>
      <c r="D600" s="3" t="s">
        <v>1672</v>
      </c>
      <c r="E600" s="3" t="s">
        <v>881</v>
      </c>
      <c r="F600" s="3" t="s">
        <v>878</v>
      </c>
    </row>
    <row r="601" spans="1:6" ht="66" customHeight="1">
      <c r="A601" s="3" t="s">
        <v>1669</v>
      </c>
      <c r="B601" s="3" t="s">
        <v>2266</v>
      </c>
      <c r="C601" s="3" t="s">
        <v>1362</v>
      </c>
      <c r="D601" s="3" t="s">
        <v>1366</v>
      </c>
      <c r="E601" s="3" t="s">
        <v>1569</v>
      </c>
      <c r="F601" s="3" t="s">
        <v>887</v>
      </c>
    </row>
    <row r="602" spans="1:6" ht="66" customHeight="1">
      <c r="A602" s="3" t="s">
        <v>1669</v>
      </c>
      <c r="B602" s="3" t="s">
        <v>2267</v>
      </c>
      <c r="C602" s="3" t="s">
        <v>1762</v>
      </c>
      <c r="D602" s="3" t="s">
        <v>2268</v>
      </c>
      <c r="E602" s="3" t="s">
        <v>2269</v>
      </c>
      <c r="F602" s="3" t="s">
        <v>2270</v>
      </c>
    </row>
    <row r="603" spans="1:6" ht="66" customHeight="1">
      <c r="A603" s="3" t="s">
        <v>1669</v>
      </c>
      <c r="B603" s="3" t="s">
        <v>2271</v>
      </c>
      <c r="C603" s="3" t="s">
        <v>1362</v>
      </c>
      <c r="D603" s="3" t="s">
        <v>1366</v>
      </c>
      <c r="E603" s="3" t="s">
        <v>2272</v>
      </c>
      <c r="F603" s="3" t="s">
        <v>887</v>
      </c>
    </row>
    <row r="604" spans="1:6" ht="66" customHeight="1">
      <c r="A604" s="3" t="s">
        <v>1669</v>
      </c>
      <c r="B604" s="3" t="s">
        <v>893</v>
      </c>
      <c r="C604" s="3" t="s">
        <v>1359</v>
      </c>
      <c r="D604" s="3" t="s">
        <v>1672</v>
      </c>
      <c r="E604" s="3" t="s">
        <v>892</v>
      </c>
      <c r="F604" s="3" t="s">
        <v>887</v>
      </c>
    </row>
    <row r="605" spans="1:6" ht="66" customHeight="1">
      <c r="A605" s="3" t="s">
        <v>1669</v>
      </c>
      <c r="B605" s="3" t="s">
        <v>2273</v>
      </c>
      <c r="C605" s="3" t="s">
        <v>1362</v>
      </c>
      <c r="D605" s="3" t="s">
        <v>1366</v>
      </c>
      <c r="E605" s="3" t="s">
        <v>1577</v>
      </c>
      <c r="F605" s="3" t="s">
        <v>1573</v>
      </c>
    </row>
    <row r="606" spans="1:6" ht="66" customHeight="1">
      <c r="A606" s="3" t="s">
        <v>1669</v>
      </c>
      <c r="B606" s="3" t="s">
        <v>2274</v>
      </c>
      <c r="C606" s="3" t="s">
        <v>1362</v>
      </c>
      <c r="D606" s="3" t="s">
        <v>1366</v>
      </c>
      <c r="E606" s="3" t="s">
        <v>2275</v>
      </c>
      <c r="F606" s="3" t="s">
        <v>2276</v>
      </c>
    </row>
    <row r="607" spans="1:6" ht="66" customHeight="1">
      <c r="A607" s="3" t="s">
        <v>1669</v>
      </c>
      <c r="B607" s="3" t="s">
        <v>2277</v>
      </c>
      <c r="C607" s="3" t="s">
        <v>1762</v>
      </c>
      <c r="D607" s="3" t="s">
        <v>2278</v>
      </c>
      <c r="E607" s="3" t="s">
        <v>2279</v>
      </c>
      <c r="F607" s="3" t="s">
        <v>2280</v>
      </c>
    </row>
    <row r="608" spans="1:6" ht="66" customHeight="1">
      <c r="A608" s="3" t="s">
        <v>1669</v>
      </c>
      <c r="B608" s="3" t="s">
        <v>902</v>
      </c>
      <c r="C608" s="3" t="s">
        <v>1359</v>
      </c>
      <c r="D608" s="3" t="s">
        <v>1672</v>
      </c>
      <c r="E608" s="3" t="s">
        <v>900</v>
      </c>
      <c r="F608" s="3" t="s">
        <v>897</v>
      </c>
    </row>
    <row r="609" spans="1:6" ht="66" customHeight="1">
      <c r="A609" s="3" t="s">
        <v>1669</v>
      </c>
      <c r="B609" s="3" t="s">
        <v>2281</v>
      </c>
      <c r="C609" s="3" t="s">
        <v>1762</v>
      </c>
      <c r="D609" s="3" t="s">
        <v>2282</v>
      </c>
      <c r="E609" s="3" t="s">
        <v>2283</v>
      </c>
      <c r="F609" s="3" t="s">
        <v>2284</v>
      </c>
    </row>
    <row r="610" spans="1:6" ht="66" customHeight="1">
      <c r="A610" s="3" t="s">
        <v>1669</v>
      </c>
      <c r="B610" s="3" t="s">
        <v>912</v>
      </c>
      <c r="C610" s="3" t="s">
        <v>1359</v>
      </c>
      <c r="D610" s="3" t="s">
        <v>1672</v>
      </c>
      <c r="E610" s="3" t="s">
        <v>909</v>
      </c>
      <c r="F610" s="3" t="s">
        <v>911</v>
      </c>
    </row>
    <row r="611" spans="1:6" ht="66" customHeight="1">
      <c r="A611" s="3" t="s">
        <v>1669</v>
      </c>
      <c r="B611" s="3" t="s">
        <v>2285</v>
      </c>
      <c r="C611" s="3" t="s">
        <v>1362</v>
      </c>
      <c r="D611" s="3" t="s">
        <v>1366</v>
      </c>
      <c r="E611" s="3" t="s">
        <v>1584</v>
      </c>
      <c r="F611" s="3" t="s">
        <v>1585</v>
      </c>
    </row>
    <row r="612" spans="1:6" ht="66" customHeight="1">
      <c r="A612" s="3" t="s">
        <v>1669</v>
      </c>
      <c r="B612" s="3" t="s">
        <v>2286</v>
      </c>
      <c r="C612" s="3" t="s">
        <v>1362</v>
      </c>
      <c r="D612" s="3" t="s">
        <v>1366</v>
      </c>
      <c r="E612" s="3" t="s">
        <v>1590</v>
      </c>
      <c r="F612" s="3" t="s">
        <v>2287</v>
      </c>
    </row>
    <row r="613" spans="1:6" ht="66" customHeight="1">
      <c r="A613" s="3" t="s">
        <v>1669</v>
      </c>
      <c r="B613" s="3" t="s">
        <v>2288</v>
      </c>
      <c r="C613" s="3" t="s">
        <v>1362</v>
      </c>
      <c r="D613" s="3" t="s">
        <v>1366</v>
      </c>
      <c r="E613" s="3" t="s">
        <v>2289</v>
      </c>
      <c r="F613" s="3" t="s">
        <v>916</v>
      </c>
    </row>
    <row r="614" spans="1:6" ht="66" customHeight="1">
      <c r="A614" s="3" t="s">
        <v>1669</v>
      </c>
      <c r="B614" s="3" t="s">
        <v>2290</v>
      </c>
      <c r="C614" s="3" t="s">
        <v>1362</v>
      </c>
      <c r="D614" s="3" t="s">
        <v>1366</v>
      </c>
      <c r="E614" s="3" t="s">
        <v>2291</v>
      </c>
      <c r="F614" s="3" t="s">
        <v>916</v>
      </c>
    </row>
    <row r="615" spans="1:6" ht="66" customHeight="1">
      <c r="A615" s="3" t="s">
        <v>1669</v>
      </c>
      <c r="B615" s="3" t="s">
        <v>2292</v>
      </c>
      <c r="C615" s="3" t="s">
        <v>1362</v>
      </c>
      <c r="D615" s="3" t="s">
        <v>1366</v>
      </c>
      <c r="E615" s="3" t="s">
        <v>2293</v>
      </c>
      <c r="F615" s="3" t="s">
        <v>916</v>
      </c>
    </row>
    <row r="616" spans="1:6" ht="66" customHeight="1">
      <c r="A616" s="3" t="s">
        <v>1669</v>
      </c>
      <c r="B616" s="3" t="s">
        <v>917</v>
      </c>
      <c r="C616" s="3" t="s">
        <v>1359</v>
      </c>
      <c r="D616" s="3" t="s">
        <v>1672</v>
      </c>
      <c r="E616" s="3" t="s">
        <v>914</v>
      </c>
      <c r="F616" s="3" t="s">
        <v>916</v>
      </c>
    </row>
    <row r="617" spans="1:6" ht="66" customHeight="1">
      <c r="A617" s="3" t="s">
        <v>1669</v>
      </c>
      <c r="B617" s="3" t="s">
        <v>2294</v>
      </c>
      <c r="C617" s="3" t="s">
        <v>1362</v>
      </c>
      <c r="D617" s="3" t="s">
        <v>1366</v>
      </c>
      <c r="E617" s="3" t="s">
        <v>2295</v>
      </c>
      <c r="F617" s="3" t="s">
        <v>916</v>
      </c>
    </row>
    <row r="618" spans="1:6" ht="66" customHeight="1">
      <c r="A618" s="3" t="s">
        <v>1669</v>
      </c>
      <c r="B618" s="3" t="s">
        <v>2296</v>
      </c>
      <c r="C618" s="3" t="s">
        <v>1362</v>
      </c>
      <c r="D618" s="3" t="s">
        <v>1366</v>
      </c>
      <c r="E618" s="3" t="s">
        <v>2297</v>
      </c>
      <c r="F618" s="3" t="s">
        <v>916</v>
      </c>
    </row>
    <row r="619" spans="1:6" ht="66" customHeight="1">
      <c r="A619" s="3" t="s">
        <v>1669</v>
      </c>
      <c r="B619" s="3" t="s">
        <v>2298</v>
      </c>
      <c r="C619" s="3" t="s">
        <v>1362</v>
      </c>
      <c r="D619" s="3" t="s">
        <v>1366</v>
      </c>
      <c r="E619" s="3" t="s">
        <v>2299</v>
      </c>
      <c r="F619" s="3" t="s">
        <v>916</v>
      </c>
    </row>
    <row r="620" spans="1:6" ht="66" customHeight="1">
      <c r="A620" s="3" t="s">
        <v>1669</v>
      </c>
      <c r="B620" s="3" t="s">
        <v>921</v>
      </c>
      <c r="C620" s="3" t="s">
        <v>1359</v>
      </c>
      <c r="D620" s="3" t="s">
        <v>1672</v>
      </c>
      <c r="E620" s="3" t="s">
        <v>919</v>
      </c>
      <c r="F620" s="3" t="s">
        <v>916</v>
      </c>
    </row>
    <row r="621" spans="1:6" ht="66" customHeight="1">
      <c r="A621" s="3" t="s">
        <v>1669</v>
      </c>
      <c r="B621" s="3" t="s">
        <v>2300</v>
      </c>
      <c r="C621" s="3" t="s">
        <v>1362</v>
      </c>
      <c r="D621" s="3" t="s">
        <v>1366</v>
      </c>
      <c r="E621" s="3" t="s">
        <v>1768</v>
      </c>
      <c r="F621" s="3" t="s">
        <v>916</v>
      </c>
    </row>
    <row r="622" spans="1:6" ht="66" customHeight="1">
      <c r="A622" s="3" t="s">
        <v>1669</v>
      </c>
      <c r="B622" s="3" t="s">
        <v>925</v>
      </c>
      <c r="C622" s="3" t="s">
        <v>1359</v>
      </c>
      <c r="D622" s="3" t="s">
        <v>1672</v>
      </c>
      <c r="E622" s="3" t="s">
        <v>923</v>
      </c>
      <c r="F622" s="3" t="s">
        <v>916</v>
      </c>
    </row>
    <row r="623" spans="1:6" ht="66" customHeight="1">
      <c r="A623" s="3" t="s">
        <v>1669</v>
      </c>
      <c r="B623" s="3" t="s">
        <v>929</v>
      </c>
      <c r="C623" s="3" t="s">
        <v>1359</v>
      </c>
      <c r="D623" s="3" t="s">
        <v>1672</v>
      </c>
      <c r="E623" s="3" t="s">
        <v>927</v>
      </c>
      <c r="F623" s="3" t="s">
        <v>916</v>
      </c>
    </row>
    <row r="624" spans="1:6" ht="66" customHeight="1">
      <c r="A624" s="3" t="s">
        <v>1669</v>
      </c>
      <c r="B624" s="3" t="s">
        <v>935</v>
      </c>
      <c r="C624" s="3" t="s">
        <v>1359</v>
      </c>
      <c r="D624" s="3" t="s">
        <v>1672</v>
      </c>
      <c r="E624" s="3" t="s">
        <v>933</v>
      </c>
      <c r="F624" s="3" t="s">
        <v>916</v>
      </c>
    </row>
    <row r="625" spans="1:6" ht="66" customHeight="1">
      <c r="A625" s="3" t="s">
        <v>1669</v>
      </c>
      <c r="B625" s="3" t="s">
        <v>940</v>
      </c>
      <c r="C625" s="3" t="s">
        <v>1359</v>
      </c>
      <c r="D625" s="3" t="s">
        <v>1672</v>
      </c>
      <c r="E625" s="3" t="s">
        <v>939</v>
      </c>
      <c r="F625" s="3" t="s">
        <v>916</v>
      </c>
    </row>
    <row r="626" spans="1:6" ht="66" customHeight="1">
      <c r="A626" s="3" t="s">
        <v>1669</v>
      </c>
      <c r="B626" s="3" t="s">
        <v>2301</v>
      </c>
      <c r="C626" s="3" t="s">
        <v>1362</v>
      </c>
      <c r="D626" s="3" t="s">
        <v>1366</v>
      </c>
      <c r="E626" s="3" t="s">
        <v>2302</v>
      </c>
      <c r="F626" s="3" t="s">
        <v>916</v>
      </c>
    </row>
    <row r="627" spans="1:6" ht="66" customHeight="1">
      <c r="A627" s="3" t="s">
        <v>1669</v>
      </c>
      <c r="B627" s="3" t="s">
        <v>2303</v>
      </c>
      <c r="C627" s="3" t="s">
        <v>1362</v>
      </c>
      <c r="D627" s="3" t="s">
        <v>1366</v>
      </c>
      <c r="E627" s="3" t="s">
        <v>2304</v>
      </c>
      <c r="F627" s="3" t="s">
        <v>946</v>
      </c>
    </row>
    <row r="628" spans="1:6" ht="66" customHeight="1">
      <c r="A628" s="3" t="s">
        <v>1669</v>
      </c>
      <c r="B628" s="3" t="s">
        <v>947</v>
      </c>
      <c r="C628" s="3" t="s">
        <v>1359</v>
      </c>
      <c r="D628" s="3" t="s">
        <v>1672</v>
      </c>
      <c r="E628" s="3" t="s">
        <v>942</v>
      </c>
      <c r="F628" s="3" t="s">
        <v>946</v>
      </c>
    </row>
    <row r="629" spans="1:6" ht="66" customHeight="1">
      <c r="A629" s="3" t="s">
        <v>1669</v>
      </c>
      <c r="B629" s="3" t="s">
        <v>2305</v>
      </c>
      <c r="C629" s="3" t="s">
        <v>1362</v>
      </c>
      <c r="D629" s="3" t="s">
        <v>1366</v>
      </c>
      <c r="E629" s="3" t="s">
        <v>2306</v>
      </c>
      <c r="F629" s="3" t="s">
        <v>946</v>
      </c>
    </row>
    <row r="630" spans="1:6" ht="66" customHeight="1">
      <c r="A630" s="3" t="s">
        <v>1669</v>
      </c>
      <c r="B630" s="3" t="s">
        <v>2307</v>
      </c>
      <c r="C630" s="3" t="s">
        <v>1362</v>
      </c>
      <c r="D630" s="3" t="s">
        <v>1366</v>
      </c>
      <c r="E630" s="3" t="s">
        <v>2308</v>
      </c>
      <c r="F630" s="3" t="s">
        <v>946</v>
      </c>
    </row>
    <row r="631" spans="1:6" ht="66" customHeight="1">
      <c r="A631" s="3" t="s">
        <v>1669</v>
      </c>
      <c r="B631" s="3" t="s">
        <v>2309</v>
      </c>
      <c r="C631" s="3" t="s">
        <v>1362</v>
      </c>
      <c r="D631" s="3" t="s">
        <v>1363</v>
      </c>
      <c r="E631" s="3" t="s">
        <v>2310</v>
      </c>
      <c r="F631" s="3" t="s">
        <v>946</v>
      </c>
    </row>
    <row r="632" spans="1:6" ht="66" customHeight="1">
      <c r="A632" s="3" t="s">
        <v>1669</v>
      </c>
      <c r="B632" s="3" t="s">
        <v>952</v>
      </c>
      <c r="C632" s="3" t="s">
        <v>1359</v>
      </c>
      <c r="D632" s="3" t="s">
        <v>1672</v>
      </c>
      <c r="E632" s="3" t="s">
        <v>949</v>
      </c>
      <c r="F632" s="3" t="s">
        <v>951</v>
      </c>
    </row>
    <row r="633" spans="1:6" ht="66" customHeight="1">
      <c r="A633" s="3" t="s">
        <v>1669</v>
      </c>
      <c r="B633" s="3" t="s">
        <v>2311</v>
      </c>
      <c r="C633" s="3" t="s">
        <v>1362</v>
      </c>
      <c r="D633" s="3" t="s">
        <v>1366</v>
      </c>
      <c r="E633" s="3" t="s">
        <v>2312</v>
      </c>
      <c r="F633" s="3" t="s">
        <v>951</v>
      </c>
    </row>
    <row r="634" spans="1:6" ht="66" customHeight="1">
      <c r="A634" s="3" t="s">
        <v>1669</v>
      </c>
      <c r="B634" s="3" t="s">
        <v>956</v>
      </c>
      <c r="C634" s="3" t="s">
        <v>1359</v>
      </c>
      <c r="D634" s="3" t="s">
        <v>1672</v>
      </c>
      <c r="E634" s="3" t="s">
        <v>954</v>
      </c>
      <c r="F634" s="3" t="s">
        <v>951</v>
      </c>
    </row>
    <row r="635" spans="1:6" ht="66" customHeight="1">
      <c r="A635" s="3" t="s">
        <v>1669</v>
      </c>
      <c r="B635" s="3" t="s">
        <v>2313</v>
      </c>
      <c r="C635" s="3" t="s">
        <v>1362</v>
      </c>
      <c r="D635" s="3" t="s">
        <v>1366</v>
      </c>
      <c r="E635" s="3" t="s">
        <v>2314</v>
      </c>
      <c r="F635" s="3" t="s">
        <v>951</v>
      </c>
    </row>
    <row r="636" spans="1:6" ht="66" customHeight="1">
      <c r="A636" s="3" t="s">
        <v>1669</v>
      </c>
      <c r="B636" s="3" t="s">
        <v>2315</v>
      </c>
      <c r="C636" s="3" t="s">
        <v>1362</v>
      </c>
      <c r="D636" s="3" t="s">
        <v>1366</v>
      </c>
      <c r="E636" s="3" t="s">
        <v>2316</v>
      </c>
      <c r="F636" s="3" t="s">
        <v>951</v>
      </c>
    </row>
    <row r="637" spans="1:6" ht="66" customHeight="1">
      <c r="A637" s="3" t="s">
        <v>1669</v>
      </c>
      <c r="B637" s="3" t="s">
        <v>2317</v>
      </c>
      <c r="C637" s="3" t="s">
        <v>1362</v>
      </c>
      <c r="D637" s="3" t="s">
        <v>1366</v>
      </c>
      <c r="E637" s="3" t="s">
        <v>2318</v>
      </c>
      <c r="F637" s="3" t="s">
        <v>951</v>
      </c>
    </row>
    <row r="638" spans="1:6" ht="66" customHeight="1">
      <c r="A638" s="3" t="s">
        <v>1669</v>
      </c>
      <c r="B638" s="3" t="s">
        <v>2319</v>
      </c>
      <c r="C638" s="3" t="s">
        <v>1362</v>
      </c>
      <c r="D638" s="3" t="s">
        <v>1366</v>
      </c>
      <c r="E638" s="3" t="s">
        <v>2320</v>
      </c>
      <c r="F638" s="3" t="s">
        <v>951</v>
      </c>
    </row>
    <row r="639" spans="1:6" ht="66" customHeight="1">
      <c r="A639" s="3" t="s">
        <v>1669</v>
      </c>
      <c r="B639" s="3" t="s">
        <v>960</v>
      </c>
      <c r="C639" s="3" t="s">
        <v>1359</v>
      </c>
      <c r="D639" s="3" t="s">
        <v>1672</v>
      </c>
      <c r="E639" s="3" t="s">
        <v>958</v>
      </c>
      <c r="F639" s="3" t="s">
        <v>951</v>
      </c>
    </row>
    <row r="640" spans="1:6" ht="66" customHeight="1">
      <c r="A640" s="3" t="s">
        <v>1669</v>
      </c>
      <c r="B640" s="3" t="s">
        <v>964</v>
      </c>
      <c r="C640" s="3" t="s">
        <v>1359</v>
      </c>
      <c r="D640" s="3" t="s">
        <v>1672</v>
      </c>
      <c r="E640" s="3" t="s">
        <v>962</v>
      </c>
      <c r="F640" s="3" t="s">
        <v>951</v>
      </c>
    </row>
    <row r="641" spans="1:6" ht="66" customHeight="1">
      <c r="A641" s="3" t="s">
        <v>1669</v>
      </c>
      <c r="B641" s="3" t="s">
        <v>2321</v>
      </c>
      <c r="C641" s="3" t="s">
        <v>1762</v>
      </c>
      <c r="D641" s="3" t="s">
        <v>2322</v>
      </c>
      <c r="E641" s="3" t="s">
        <v>2323</v>
      </c>
      <c r="F641" s="3" t="s">
        <v>981</v>
      </c>
    </row>
    <row r="642" spans="1:6" ht="66" customHeight="1">
      <c r="A642" s="3" t="s">
        <v>1669</v>
      </c>
      <c r="B642" s="3" t="s">
        <v>977</v>
      </c>
      <c r="C642" s="3" t="s">
        <v>1359</v>
      </c>
      <c r="D642" s="3" t="s">
        <v>1672</v>
      </c>
      <c r="E642" s="3" t="s">
        <v>974</v>
      </c>
      <c r="F642" s="3" t="s">
        <v>971</v>
      </c>
    </row>
    <row r="643" spans="1:6" ht="66" customHeight="1">
      <c r="A643" s="3" t="s">
        <v>1669</v>
      </c>
      <c r="B643" s="3" t="s">
        <v>982</v>
      </c>
      <c r="C643" s="3" t="s">
        <v>1359</v>
      </c>
      <c r="D643" s="3" t="s">
        <v>1672</v>
      </c>
      <c r="E643" s="3" t="s">
        <v>979</v>
      </c>
      <c r="F643" s="3" t="s">
        <v>981</v>
      </c>
    </row>
    <row r="644" spans="1:6" ht="66" customHeight="1">
      <c r="A644" s="3" t="s">
        <v>1669</v>
      </c>
      <c r="B644" s="3" t="s">
        <v>2324</v>
      </c>
      <c r="C644" s="3" t="s">
        <v>1762</v>
      </c>
      <c r="D644" s="3" t="s">
        <v>2325</v>
      </c>
      <c r="E644" s="3" t="s">
        <v>2326</v>
      </c>
      <c r="F644" s="3" t="s">
        <v>2327</v>
      </c>
    </row>
    <row r="645" spans="1:6" ht="66" customHeight="1">
      <c r="A645" s="3" t="s">
        <v>1669</v>
      </c>
      <c r="B645" s="3" t="s">
        <v>2328</v>
      </c>
      <c r="C645" s="3" t="s">
        <v>1362</v>
      </c>
      <c r="D645" s="3" t="s">
        <v>1366</v>
      </c>
      <c r="E645" s="3" t="s">
        <v>2329</v>
      </c>
      <c r="F645" s="3" t="s">
        <v>2327</v>
      </c>
    </row>
    <row r="646" spans="1:6" ht="66" customHeight="1">
      <c r="A646" s="3" t="s">
        <v>1669</v>
      </c>
      <c r="B646" s="3" t="s">
        <v>2330</v>
      </c>
      <c r="C646" s="3" t="s">
        <v>1762</v>
      </c>
      <c r="D646" s="3" t="s">
        <v>2331</v>
      </c>
      <c r="E646" s="3" t="s">
        <v>2332</v>
      </c>
      <c r="F646" s="3" t="s">
        <v>996</v>
      </c>
    </row>
    <row r="647" spans="1:6" ht="66" customHeight="1">
      <c r="A647" s="3" t="s">
        <v>1669</v>
      </c>
      <c r="B647" s="3" t="s">
        <v>2333</v>
      </c>
      <c r="C647" s="3" t="s">
        <v>1762</v>
      </c>
      <c r="D647" s="3" t="s">
        <v>2334</v>
      </c>
      <c r="E647" s="3" t="s">
        <v>994</v>
      </c>
      <c r="F647" s="3" t="s">
        <v>996</v>
      </c>
    </row>
    <row r="648" spans="1:6" ht="66" customHeight="1">
      <c r="A648" s="3" t="s">
        <v>1669</v>
      </c>
      <c r="B648" s="3" t="s">
        <v>2335</v>
      </c>
      <c r="C648" s="3" t="s">
        <v>1362</v>
      </c>
      <c r="D648" s="3" t="s">
        <v>1366</v>
      </c>
      <c r="E648" s="3" t="s">
        <v>2336</v>
      </c>
      <c r="F648" s="3" t="s">
        <v>996</v>
      </c>
    </row>
    <row r="649" spans="1:6" ht="66" customHeight="1">
      <c r="A649" s="3" t="s">
        <v>1669</v>
      </c>
      <c r="B649" s="3" t="s">
        <v>2337</v>
      </c>
      <c r="C649" s="3" t="s">
        <v>1762</v>
      </c>
      <c r="D649" s="3" t="s">
        <v>2338</v>
      </c>
      <c r="E649" s="3" t="s">
        <v>2339</v>
      </c>
      <c r="F649" s="3" t="s">
        <v>2340</v>
      </c>
    </row>
    <row r="650" spans="1:6" ht="66" customHeight="1">
      <c r="A650" s="3" t="s">
        <v>1669</v>
      </c>
      <c r="B650" s="3" t="s">
        <v>1011</v>
      </c>
      <c r="C650" s="3" t="s">
        <v>1359</v>
      </c>
      <c r="D650" s="3" t="s">
        <v>1672</v>
      </c>
      <c r="E650" s="3" t="s">
        <v>1008</v>
      </c>
      <c r="F650" s="3" t="s">
        <v>1010</v>
      </c>
    </row>
    <row r="651" spans="1:6" ht="66" customHeight="1">
      <c r="A651" s="3" t="s">
        <v>1669</v>
      </c>
      <c r="B651" s="3" t="s">
        <v>2341</v>
      </c>
      <c r="C651" s="3" t="s">
        <v>1362</v>
      </c>
      <c r="D651" s="3" t="s">
        <v>1366</v>
      </c>
      <c r="E651" s="3" t="s">
        <v>2342</v>
      </c>
      <c r="F651" s="3" t="s">
        <v>1010</v>
      </c>
    </row>
    <row r="652" spans="1:6" ht="66" customHeight="1">
      <c r="A652" s="3" t="s">
        <v>1669</v>
      </c>
      <c r="B652" s="3" t="s">
        <v>2343</v>
      </c>
      <c r="C652" s="3" t="s">
        <v>1362</v>
      </c>
      <c r="D652" s="3" t="s">
        <v>1366</v>
      </c>
      <c r="E652" s="3" t="s">
        <v>2344</v>
      </c>
      <c r="F652" s="3" t="s">
        <v>2345</v>
      </c>
    </row>
    <row r="653" spans="1:6" ht="66" customHeight="1">
      <c r="A653" s="3" t="s">
        <v>1669</v>
      </c>
      <c r="B653" s="3" t="s">
        <v>2346</v>
      </c>
      <c r="C653" s="3" t="s">
        <v>1362</v>
      </c>
      <c r="D653" s="3" t="s">
        <v>1363</v>
      </c>
      <c r="E653" s="3" t="s">
        <v>1596</v>
      </c>
      <c r="F653" s="3" t="s">
        <v>2347</v>
      </c>
    </row>
    <row r="654" spans="1:6" ht="66" customHeight="1">
      <c r="A654" s="3" t="s">
        <v>1669</v>
      </c>
      <c r="B654" s="3" t="s">
        <v>2348</v>
      </c>
      <c r="C654" s="3" t="s">
        <v>1362</v>
      </c>
      <c r="D654" s="3" t="s">
        <v>1366</v>
      </c>
      <c r="E654" s="3" t="s">
        <v>2349</v>
      </c>
      <c r="F654" s="3" t="s">
        <v>2347</v>
      </c>
    </row>
    <row r="655" spans="1:6" ht="66" customHeight="1">
      <c r="A655" s="3" t="s">
        <v>1669</v>
      </c>
      <c r="B655" s="3" t="s">
        <v>2350</v>
      </c>
      <c r="C655" s="3" t="s">
        <v>1762</v>
      </c>
      <c r="D655" s="3" t="s">
        <v>2351</v>
      </c>
      <c r="E655" s="3" t="s">
        <v>2352</v>
      </c>
      <c r="F655" s="3" t="s">
        <v>2353</v>
      </c>
    </row>
    <row r="656" spans="1:6" ht="66" customHeight="1">
      <c r="A656" s="3" t="s">
        <v>1669</v>
      </c>
      <c r="B656" s="3" t="s">
        <v>2354</v>
      </c>
      <c r="C656" s="3" t="s">
        <v>1762</v>
      </c>
      <c r="D656" s="3" t="s">
        <v>2355</v>
      </c>
      <c r="E656" s="3" t="s">
        <v>2356</v>
      </c>
      <c r="F656" s="3" t="s">
        <v>2357</v>
      </c>
    </row>
    <row r="657" spans="1:6" ht="66" customHeight="1">
      <c r="A657" s="3" t="s">
        <v>1669</v>
      </c>
      <c r="B657" s="3" t="s">
        <v>2358</v>
      </c>
      <c r="C657" s="3" t="s">
        <v>1362</v>
      </c>
      <c r="D657" s="3" t="s">
        <v>1366</v>
      </c>
      <c r="E657" s="3" t="s">
        <v>2359</v>
      </c>
      <c r="F657" s="3" t="s">
        <v>1020</v>
      </c>
    </row>
    <row r="658" spans="1:6" ht="66" customHeight="1">
      <c r="A658" s="3" t="s">
        <v>1669</v>
      </c>
      <c r="B658" s="3" t="s">
        <v>2360</v>
      </c>
      <c r="C658" s="3" t="s">
        <v>1762</v>
      </c>
      <c r="D658" s="3" t="s">
        <v>2361</v>
      </c>
      <c r="E658" s="3" t="s">
        <v>2362</v>
      </c>
      <c r="F658" s="3" t="s">
        <v>1025</v>
      </c>
    </row>
    <row r="659" spans="1:6" ht="66" customHeight="1">
      <c r="A659" s="3" t="s">
        <v>1669</v>
      </c>
      <c r="B659" s="3" t="s">
        <v>2363</v>
      </c>
      <c r="C659" s="3" t="s">
        <v>1362</v>
      </c>
      <c r="D659" s="3" t="s">
        <v>1366</v>
      </c>
      <c r="E659" s="3" t="s">
        <v>1599</v>
      </c>
      <c r="F659" s="3" t="s">
        <v>2364</v>
      </c>
    </row>
    <row r="660" spans="1:6" ht="66" customHeight="1">
      <c r="A660" s="3" t="s">
        <v>1669</v>
      </c>
      <c r="B660" s="3" t="s">
        <v>2365</v>
      </c>
      <c r="C660" s="3" t="s">
        <v>1362</v>
      </c>
      <c r="D660" s="3" t="s">
        <v>1366</v>
      </c>
      <c r="E660" s="3" t="s">
        <v>2366</v>
      </c>
      <c r="F660" s="3" t="s">
        <v>2367</v>
      </c>
    </row>
    <row r="661" spans="1:6" ht="66" customHeight="1">
      <c r="A661" s="3" t="s">
        <v>1669</v>
      </c>
      <c r="B661" s="3" t="s">
        <v>2368</v>
      </c>
      <c r="C661" s="3" t="s">
        <v>1762</v>
      </c>
      <c r="D661" s="3" t="s">
        <v>2369</v>
      </c>
      <c r="E661" s="3" t="s">
        <v>2370</v>
      </c>
      <c r="F661" s="3" t="s">
        <v>1030</v>
      </c>
    </row>
    <row r="662" spans="1:6" ht="66" customHeight="1">
      <c r="A662" s="3" t="s">
        <v>1669</v>
      </c>
      <c r="B662" s="3" t="s">
        <v>2371</v>
      </c>
      <c r="C662" s="3" t="s">
        <v>1762</v>
      </c>
      <c r="D662" s="3" t="s">
        <v>2372</v>
      </c>
      <c r="E662" s="3" t="s">
        <v>2373</v>
      </c>
      <c r="F662" s="3" t="s">
        <v>2374</v>
      </c>
    </row>
    <row r="663" spans="1:6" ht="66" customHeight="1">
      <c r="A663" s="3" t="s">
        <v>1669</v>
      </c>
      <c r="B663" s="3" t="s">
        <v>2375</v>
      </c>
      <c r="C663" s="3" t="s">
        <v>1362</v>
      </c>
      <c r="D663" s="3" t="s">
        <v>1366</v>
      </c>
      <c r="E663" s="3" t="s">
        <v>1601</v>
      </c>
      <c r="F663" s="3" t="s">
        <v>1035</v>
      </c>
    </row>
    <row r="664" spans="1:6" ht="66" customHeight="1">
      <c r="A664" s="3" t="s">
        <v>1669</v>
      </c>
      <c r="B664" s="3" t="s">
        <v>2376</v>
      </c>
      <c r="C664" s="3" t="s">
        <v>1762</v>
      </c>
      <c r="D664" s="3" t="s">
        <v>2377</v>
      </c>
      <c r="E664" s="3" t="s">
        <v>1038</v>
      </c>
      <c r="F664" s="3" t="s">
        <v>2378</v>
      </c>
    </row>
    <row r="665" spans="1:6" ht="66" customHeight="1">
      <c r="A665" s="3" t="s">
        <v>1669</v>
      </c>
      <c r="B665" s="3" t="s">
        <v>2379</v>
      </c>
      <c r="C665" s="3" t="s">
        <v>1362</v>
      </c>
      <c r="D665" s="3" t="s">
        <v>1366</v>
      </c>
      <c r="E665" s="3" t="s">
        <v>2380</v>
      </c>
      <c r="F665" s="3" t="s">
        <v>1040</v>
      </c>
    </row>
    <row r="666" spans="1:6" ht="66" customHeight="1">
      <c r="A666" s="3" t="s">
        <v>1669</v>
      </c>
      <c r="B666" s="3" t="s">
        <v>2381</v>
      </c>
      <c r="C666" s="3" t="s">
        <v>1362</v>
      </c>
      <c r="D666" s="3" t="s">
        <v>1366</v>
      </c>
      <c r="E666" s="3" t="s">
        <v>2382</v>
      </c>
      <c r="F666" s="3" t="s">
        <v>2378</v>
      </c>
    </row>
    <row r="667" spans="1:6" ht="66" customHeight="1">
      <c r="A667" s="3" t="s">
        <v>1669</v>
      </c>
      <c r="B667" s="3" t="s">
        <v>2383</v>
      </c>
      <c r="C667" s="3" t="s">
        <v>1362</v>
      </c>
      <c r="D667" s="3" t="s">
        <v>1366</v>
      </c>
      <c r="E667" s="3" t="s">
        <v>2384</v>
      </c>
      <c r="F667" s="3" t="s">
        <v>1040</v>
      </c>
    </row>
    <row r="668" spans="1:6" ht="66" customHeight="1">
      <c r="A668" s="3" t="s">
        <v>1669</v>
      </c>
      <c r="B668" s="3" t="s">
        <v>1046</v>
      </c>
      <c r="C668" s="3" t="s">
        <v>1359</v>
      </c>
      <c r="D668" s="3" t="s">
        <v>1672</v>
      </c>
      <c r="E668" s="3" t="s">
        <v>1043</v>
      </c>
      <c r="F668" s="3" t="s">
        <v>1045</v>
      </c>
    </row>
    <row r="669" spans="1:6" ht="66" customHeight="1">
      <c r="A669" s="3" t="s">
        <v>1669</v>
      </c>
      <c r="B669" s="3" t="s">
        <v>1051</v>
      </c>
      <c r="C669" s="3" t="s">
        <v>1359</v>
      </c>
      <c r="D669" s="3" t="s">
        <v>1672</v>
      </c>
      <c r="E669" s="3" t="s">
        <v>1048</v>
      </c>
      <c r="F669" s="3" t="s">
        <v>1050</v>
      </c>
    </row>
    <row r="670" spans="1:6" ht="66" customHeight="1">
      <c r="A670" s="3" t="s">
        <v>1669</v>
      </c>
      <c r="B670" s="3" t="s">
        <v>2385</v>
      </c>
      <c r="C670" s="3" t="s">
        <v>1362</v>
      </c>
      <c r="D670" s="3" t="s">
        <v>1366</v>
      </c>
      <c r="E670" s="3" t="s">
        <v>2386</v>
      </c>
      <c r="F670" s="3" t="s">
        <v>2387</v>
      </c>
    </row>
    <row r="671" spans="1:6" ht="66" customHeight="1">
      <c r="A671" s="3" t="s">
        <v>1669</v>
      </c>
      <c r="B671" s="3" t="s">
        <v>2388</v>
      </c>
      <c r="C671" s="3" t="s">
        <v>1362</v>
      </c>
      <c r="D671" s="3" t="s">
        <v>1366</v>
      </c>
      <c r="E671" s="3" t="s">
        <v>2389</v>
      </c>
      <c r="F671" s="3" t="s">
        <v>2387</v>
      </c>
    </row>
    <row r="672" spans="1:6" ht="66" customHeight="1">
      <c r="A672" s="3" t="s">
        <v>1669</v>
      </c>
      <c r="B672" s="3" t="s">
        <v>2390</v>
      </c>
      <c r="C672" s="3" t="s">
        <v>1762</v>
      </c>
      <c r="D672" s="3" t="s">
        <v>2391</v>
      </c>
      <c r="E672" s="3" t="s">
        <v>1058</v>
      </c>
      <c r="F672" s="3" t="s">
        <v>2392</v>
      </c>
    </row>
    <row r="673" spans="1:6" ht="66" customHeight="1">
      <c r="A673" s="3" t="s">
        <v>1669</v>
      </c>
      <c r="B673" s="3" t="s">
        <v>2393</v>
      </c>
      <c r="C673" s="3" t="s">
        <v>1362</v>
      </c>
      <c r="D673" s="3" t="s">
        <v>1366</v>
      </c>
      <c r="E673" s="3" t="s">
        <v>1053</v>
      </c>
      <c r="F673" s="3" t="s">
        <v>1055</v>
      </c>
    </row>
    <row r="674" spans="1:6" ht="66" customHeight="1">
      <c r="A674" s="3" t="s">
        <v>1669</v>
      </c>
      <c r="B674" s="3" t="s">
        <v>2394</v>
      </c>
      <c r="C674" s="3" t="s">
        <v>1362</v>
      </c>
      <c r="D674" s="3" t="s">
        <v>1366</v>
      </c>
      <c r="E674" s="3" t="s">
        <v>2395</v>
      </c>
      <c r="F674" s="3" t="s">
        <v>1055</v>
      </c>
    </row>
    <row r="675" spans="1:6" ht="66" customHeight="1">
      <c r="A675" s="3" t="s">
        <v>1669</v>
      </c>
      <c r="B675" s="3" t="s">
        <v>2396</v>
      </c>
      <c r="C675" s="3" t="s">
        <v>1762</v>
      </c>
      <c r="D675" s="3" t="s">
        <v>2397</v>
      </c>
      <c r="E675" s="3" t="s">
        <v>2398</v>
      </c>
      <c r="F675" s="3" t="s">
        <v>1064</v>
      </c>
    </row>
    <row r="676" spans="1:6" ht="66" customHeight="1">
      <c r="A676" s="3" t="s">
        <v>1669</v>
      </c>
      <c r="B676" s="3" t="s">
        <v>2399</v>
      </c>
      <c r="C676" s="3" t="s">
        <v>1362</v>
      </c>
      <c r="D676" s="3" t="s">
        <v>1366</v>
      </c>
      <c r="E676" s="3" t="s">
        <v>1612</v>
      </c>
      <c r="F676" s="3" t="s">
        <v>1064</v>
      </c>
    </row>
    <row r="677" spans="1:6" ht="66" customHeight="1">
      <c r="A677" s="3" t="s">
        <v>1669</v>
      </c>
      <c r="B677" s="3" t="s">
        <v>2400</v>
      </c>
      <c r="C677" s="3" t="s">
        <v>1362</v>
      </c>
      <c r="D677" s="3" t="s">
        <v>1366</v>
      </c>
      <c r="E677" s="3" t="s">
        <v>2401</v>
      </c>
      <c r="F677" s="3" t="s">
        <v>2402</v>
      </c>
    </row>
    <row r="678" spans="1:6" ht="66" customHeight="1">
      <c r="A678" s="3" t="s">
        <v>1669</v>
      </c>
      <c r="B678" s="3" t="s">
        <v>2403</v>
      </c>
      <c r="C678" s="3" t="s">
        <v>1762</v>
      </c>
      <c r="D678" s="3" t="s">
        <v>2404</v>
      </c>
      <c r="E678" s="3" t="s">
        <v>2405</v>
      </c>
      <c r="F678" s="3" t="s">
        <v>2406</v>
      </c>
    </row>
    <row r="679" spans="1:6" ht="66" customHeight="1">
      <c r="A679" s="3" t="s">
        <v>1669</v>
      </c>
      <c r="B679" s="3" t="s">
        <v>2407</v>
      </c>
      <c r="C679" s="3" t="s">
        <v>1762</v>
      </c>
      <c r="D679" s="3" t="s">
        <v>2408</v>
      </c>
      <c r="E679" s="3" t="s">
        <v>2409</v>
      </c>
      <c r="F679" s="3" t="s">
        <v>1069</v>
      </c>
    </row>
    <row r="680" spans="1:6" ht="66" customHeight="1">
      <c r="A680" s="3" t="s">
        <v>1669</v>
      </c>
      <c r="B680" s="3" t="s">
        <v>2410</v>
      </c>
      <c r="C680" s="3" t="s">
        <v>1762</v>
      </c>
      <c r="D680" s="3" t="s">
        <v>2411</v>
      </c>
      <c r="E680" s="3" t="s">
        <v>1077</v>
      </c>
      <c r="F680" s="3" t="s">
        <v>1079</v>
      </c>
    </row>
    <row r="681" spans="1:6" ht="66" customHeight="1">
      <c r="A681" s="3" t="s">
        <v>1669</v>
      </c>
      <c r="B681" s="3" t="s">
        <v>2412</v>
      </c>
      <c r="C681" s="3" t="s">
        <v>1362</v>
      </c>
      <c r="D681" s="3" t="s">
        <v>1366</v>
      </c>
      <c r="E681" s="3" t="s">
        <v>1614</v>
      </c>
      <c r="F681" s="3" t="s">
        <v>1079</v>
      </c>
    </row>
    <row r="682" spans="1:6" ht="66" customHeight="1">
      <c r="A682" s="3" t="s">
        <v>1669</v>
      </c>
      <c r="B682" s="3" t="s">
        <v>2413</v>
      </c>
      <c r="C682" s="3" t="s">
        <v>1762</v>
      </c>
      <c r="D682" s="3" t="s">
        <v>2404</v>
      </c>
      <c r="E682" s="3" t="s">
        <v>2414</v>
      </c>
      <c r="F682" s="3" t="s">
        <v>1079</v>
      </c>
    </row>
    <row r="683" spans="1:6" ht="66" customHeight="1">
      <c r="A683" s="3" t="s">
        <v>1669</v>
      </c>
      <c r="B683" s="3" t="s">
        <v>2415</v>
      </c>
      <c r="C683" s="3" t="s">
        <v>1762</v>
      </c>
      <c r="D683" s="3" t="s">
        <v>2416</v>
      </c>
      <c r="E683" s="3" t="s">
        <v>2417</v>
      </c>
      <c r="F683" s="3" t="s">
        <v>1084</v>
      </c>
    </row>
    <row r="684" spans="1:6" ht="66" customHeight="1">
      <c r="A684" s="3" t="s">
        <v>1669</v>
      </c>
      <c r="B684" s="3" t="s">
        <v>2418</v>
      </c>
      <c r="C684" s="3" t="s">
        <v>1762</v>
      </c>
      <c r="D684" s="3" t="s">
        <v>2419</v>
      </c>
      <c r="E684" s="3" t="s">
        <v>1089</v>
      </c>
      <c r="F684" s="3" t="s">
        <v>2420</v>
      </c>
    </row>
    <row r="685" spans="1:6" ht="66" customHeight="1">
      <c r="A685" s="3" t="s">
        <v>1669</v>
      </c>
      <c r="B685" s="3" t="s">
        <v>1096</v>
      </c>
      <c r="C685" s="3" t="s">
        <v>1359</v>
      </c>
      <c r="D685" s="3" t="s">
        <v>1672</v>
      </c>
      <c r="E685" s="3" t="s">
        <v>1093</v>
      </c>
      <c r="F685" s="3" t="s">
        <v>1095</v>
      </c>
    </row>
    <row r="686" spans="1:6" ht="66" customHeight="1">
      <c r="A686" s="3" t="s">
        <v>1669</v>
      </c>
      <c r="B686" s="3" t="s">
        <v>2421</v>
      </c>
      <c r="C686" s="3" t="s">
        <v>1362</v>
      </c>
      <c r="D686" s="3" t="s">
        <v>2195</v>
      </c>
      <c r="E686" s="3" t="s">
        <v>2422</v>
      </c>
      <c r="F686" s="3" t="s">
        <v>2423</v>
      </c>
    </row>
    <row r="687" spans="1:6" ht="66" customHeight="1">
      <c r="A687" s="3" t="s">
        <v>1669</v>
      </c>
      <c r="B687" s="3" t="s">
        <v>2424</v>
      </c>
      <c r="C687" s="3" t="s">
        <v>1362</v>
      </c>
      <c r="D687" s="3" t="s">
        <v>1366</v>
      </c>
      <c r="E687" s="3" t="s">
        <v>2425</v>
      </c>
      <c r="F687" s="3" t="s">
        <v>1630</v>
      </c>
    </row>
    <row r="688" spans="1:6" ht="66" customHeight="1">
      <c r="A688" s="3" t="s">
        <v>1669</v>
      </c>
      <c r="B688" s="3" t="s">
        <v>2426</v>
      </c>
      <c r="C688" s="3" t="s">
        <v>1362</v>
      </c>
      <c r="D688" s="3" t="s">
        <v>1366</v>
      </c>
      <c r="E688" s="3" t="s">
        <v>2427</v>
      </c>
      <c r="F688" s="3" t="s">
        <v>1100</v>
      </c>
    </row>
    <row r="689" spans="1:6" ht="66" customHeight="1">
      <c r="A689" s="3" t="s">
        <v>1669</v>
      </c>
      <c r="B689" s="3" t="s">
        <v>2428</v>
      </c>
      <c r="C689" s="3" t="s">
        <v>1362</v>
      </c>
      <c r="D689" s="3" t="s">
        <v>1363</v>
      </c>
      <c r="E689" s="3" t="s">
        <v>2429</v>
      </c>
      <c r="F689" s="3" t="s">
        <v>1105</v>
      </c>
    </row>
    <row r="690" spans="1:6" ht="66" customHeight="1">
      <c r="A690" s="3" t="s">
        <v>1669</v>
      </c>
      <c r="B690" s="3" t="s">
        <v>1106</v>
      </c>
      <c r="C690" s="3" t="s">
        <v>1359</v>
      </c>
      <c r="D690" s="3" t="s">
        <v>1672</v>
      </c>
      <c r="E690" s="3" t="s">
        <v>1103</v>
      </c>
      <c r="F690" s="3" t="s">
        <v>1105</v>
      </c>
    </row>
    <row r="691" spans="1:6" ht="66" customHeight="1">
      <c r="A691" s="3" t="s">
        <v>1669</v>
      </c>
      <c r="B691" s="3" t="s">
        <v>2430</v>
      </c>
      <c r="C691" s="3" t="s">
        <v>1362</v>
      </c>
      <c r="D691" s="3" t="s">
        <v>1366</v>
      </c>
      <c r="E691" s="3" t="s">
        <v>2431</v>
      </c>
      <c r="F691" s="3" t="s">
        <v>1105</v>
      </c>
    </row>
    <row r="692" spans="1:6" ht="66" customHeight="1">
      <c r="A692" s="3" t="s">
        <v>1669</v>
      </c>
      <c r="B692" s="3" t="s">
        <v>2432</v>
      </c>
      <c r="C692" s="3" t="s">
        <v>1762</v>
      </c>
      <c r="D692" s="3" t="s">
        <v>2433</v>
      </c>
      <c r="E692" s="3" t="s">
        <v>2434</v>
      </c>
      <c r="F692" s="3" t="s">
        <v>1110</v>
      </c>
    </row>
    <row r="693" spans="1:6" ht="66" customHeight="1">
      <c r="A693" s="3" t="s">
        <v>1669</v>
      </c>
      <c r="B693" s="3" t="s">
        <v>2435</v>
      </c>
      <c r="C693" s="3" t="s">
        <v>1362</v>
      </c>
      <c r="D693" s="3" t="s">
        <v>1366</v>
      </c>
      <c r="E693" s="3" t="s">
        <v>1108</v>
      </c>
      <c r="F693" s="3" t="s">
        <v>1110</v>
      </c>
    </row>
    <row r="694" spans="1:6" ht="66" customHeight="1">
      <c r="A694" s="3" t="s">
        <v>1669</v>
      </c>
      <c r="B694" s="3" t="s">
        <v>2436</v>
      </c>
      <c r="C694" s="3" t="s">
        <v>1762</v>
      </c>
      <c r="D694" s="3" t="s">
        <v>2437</v>
      </c>
      <c r="E694" s="3" t="s">
        <v>2438</v>
      </c>
      <c r="F694" s="3" t="s">
        <v>1120</v>
      </c>
    </row>
    <row r="695" spans="1:6" ht="66" customHeight="1">
      <c r="A695" s="3" t="s">
        <v>1669</v>
      </c>
      <c r="B695" s="3" t="s">
        <v>2439</v>
      </c>
      <c r="C695" s="3" t="s">
        <v>1762</v>
      </c>
      <c r="D695" s="3" t="s">
        <v>2440</v>
      </c>
      <c r="E695" s="3" t="s">
        <v>2441</v>
      </c>
      <c r="F695" s="3" t="s">
        <v>1125</v>
      </c>
    </row>
    <row r="696" spans="1:6" ht="66" customHeight="1">
      <c r="A696" s="3" t="s">
        <v>1669</v>
      </c>
      <c r="B696" s="3" t="s">
        <v>2442</v>
      </c>
      <c r="C696" s="3" t="s">
        <v>1362</v>
      </c>
      <c r="D696" s="3" t="s">
        <v>1366</v>
      </c>
      <c r="E696" s="3" t="s">
        <v>2443</v>
      </c>
      <c r="F696" s="3" t="s">
        <v>1637</v>
      </c>
    </row>
    <row r="697" spans="1:6" ht="66" customHeight="1">
      <c r="A697" s="3" t="s">
        <v>1669</v>
      </c>
      <c r="B697" s="3" t="s">
        <v>2444</v>
      </c>
      <c r="C697" s="3" t="s">
        <v>1762</v>
      </c>
      <c r="D697" s="3" t="s">
        <v>2445</v>
      </c>
      <c r="E697" s="3" t="s">
        <v>2446</v>
      </c>
      <c r="F697" s="3" t="s">
        <v>2447</v>
      </c>
    </row>
    <row r="698" spans="1:6" ht="66" customHeight="1">
      <c r="A698" s="3" t="s">
        <v>1669</v>
      </c>
      <c r="B698" s="3" t="s">
        <v>2448</v>
      </c>
      <c r="C698" s="3" t="s">
        <v>1362</v>
      </c>
      <c r="D698" s="3" t="s">
        <v>1366</v>
      </c>
      <c r="E698" s="3" t="s">
        <v>2449</v>
      </c>
      <c r="F698" s="3" t="s">
        <v>1130</v>
      </c>
    </row>
    <row r="699" spans="1:6" ht="66" customHeight="1">
      <c r="A699" s="3" t="s">
        <v>1669</v>
      </c>
      <c r="B699" s="3" t="s">
        <v>2450</v>
      </c>
      <c r="C699" s="3" t="s">
        <v>1762</v>
      </c>
      <c r="D699" s="3" t="s">
        <v>2451</v>
      </c>
      <c r="E699" s="3" t="s">
        <v>2452</v>
      </c>
      <c r="F699" s="3" t="s">
        <v>1136</v>
      </c>
    </row>
    <row r="700" spans="1:6" ht="66" customHeight="1">
      <c r="A700" s="3" t="s">
        <v>1669</v>
      </c>
      <c r="B700" s="3" t="s">
        <v>2453</v>
      </c>
      <c r="C700" s="3" t="s">
        <v>1362</v>
      </c>
      <c r="D700" s="3" t="s">
        <v>1366</v>
      </c>
      <c r="E700" s="3" t="s">
        <v>2454</v>
      </c>
      <c r="F700" s="3" t="s">
        <v>1136</v>
      </c>
    </row>
    <row r="701" spans="1:6" ht="66" customHeight="1">
      <c r="A701" s="3" t="s">
        <v>1669</v>
      </c>
      <c r="B701" s="3" t="s">
        <v>2455</v>
      </c>
      <c r="C701" s="3" t="s">
        <v>1762</v>
      </c>
      <c r="D701" s="3" t="s">
        <v>2456</v>
      </c>
      <c r="E701" s="3" t="s">
        <v>2457</v>
      </c>
      <c r="F701" s="3" t="s">
        <v>2458</v>
      </c>
    </row>
    <row r="702" spans="1:6" ht="66" customHeight="1">
      <c r="A702" s="3" t="s">
        <v>1669</v>
      </c>
      <c r="B702" s="3" t="s">
        <v>1147</v>
      </c>
      <c r="C702" s="3" t="s">
        <v>1359</v>
      </c>
      <c r="D702" s="3" t="s">
        <v>1672</v>
      </c>
      <c r="E702" s="3" t="s">
        <v>1144</v>
      </c>
      <c r="F702" s="3" t="s">
        <v>1146</v>
      </c>
    </row>
    <row r="703" spans="1:6" ht="66" customHeight="1">
      <c r="A703" s="3" t="s">
        <v>1669</v>
      </c>
      <c r="B703" s="3" t="s">
        <v>2459</v>
      </c>
      <c r="C703" s="3" t="s">
        <v>1362</v>
      </c>
      <c r="D703" s="3" t="s">
        <v>1366</v>
      </c>
      <c r="E703" s="3" t="s">
        <v>2460</v>
      </c>
      <c r="F703" s="3" t="s">
        <v>1151</v>
      </c>
    </row>
    <row r="704" spans="1:6" ht="66" customHeight="1">
      <c r="A704" s="3" t="s">
        <v>1669</v>
      </c>
      <c r="B704" s="3" t="s">
        <v>2461</v>
      </c>
      <c r="C704" s="3" t="s">
        <v>1762</v>
      </c>
      <c r="D704" s="3" t="s">
        <v>2462</v>
      </c>
      <c r="E704" s="3" t="s">
        <v>2463</v>
      </c>
      <c r="F704" s="3" t="s">
        <v>2464</v>
      </c>
    </row>
    <row r="705" spans="1:6" ht="66" customHeight="1">
      <c r="A705" s="3" t="s">
        <v>1669</v>
      </c>
      <c r="B705" s="3" t="s">
        <v>2465</v>
      </c>
      <c r="C705" s="3" t="s">
        <v>1762</v>
      </c>
      <c r="D705" s="3" t="s">
        <v>2466</v>
      </c>
      <c r="E705" s="3" t="s">
        <v>1149</v>
      </c>
      <c r="F705" s="3" t="s">
        <v>1151</v>
      </c>
    </row>
    <row r="706" spans="1:6" ht="66" customHeight="1">
      <c r="A706" s="3" t="s">
        <v>1669</v>
      </c>
      <c r="B706" s="3" t="s">
        <v>2467</v>
      </c>
      <c r="C706" s="3" t="s">
        <v>1762</v>
      </c>
      <c r="D706" s="3" t="s">
        <v>2468</v>
      </c>
      <c r="E706" s="3" t="s">
        <v>2469</v>
      </c>
      <c r="F706" s="3" t="s">
        <v>1160</v>
      </c>
    </row>
    <row r="707" spans="1:6" ht="66" customHeight="1">
      <c r="A707" s="3" t="s">
        <v>1669</v>
      </c>
      <c r="B707" s="3" t="s">
        <v>2470</v>
      </c>
      <c r="C707" s="3" t="s">
        <v>1762</v>
      </c>
      <c r="D707" s="3" t="s">
        <v>2471</v>
      </c>
      <c r="E707" s="3" t="s">
        <v>2472</v>
      </c>
      <c r="F707" s="3" t="s">
        <v>2473</v>
      </c>
    </row>
    <row r="708" spans="1:6" ht="66" customHeight="1">
      <c r="A708" s="3" t="s">
        <v>1669</v>
      </c>
      <c r="B708" s="3" t="s">
        <v>1174</v>
      </c>
      <c r="C708" s="3" t="s">
        <v>1359</v>
      </c>
      <c r="D708" s="3" t="s">
        <v>1672</v>
      </c>
      <c r="E708" s="3" t="s">
        <v>1171</v>
      </c>
      <c r="F708" s="3" t="s">
        <v>1173</v>
      </c>
    </row>
    <row r="709" spans="1:6" ht="66" customHeight="1">
      <c r="A709" s="3" t="s">
        <v>1669</v>
      </c>
      <c r="B709" s="3" t="s">
        <v>2474</v>
      </c>
      <c r="C709" s="3" t="s">
        <v>1762</v>
      </c>
      <c r="D709" s="3" t="s">
        <v>2475</v>
      </c>
      <c r="E709" s="3" t="s">
        <v>2476</v>
      </c>
      <c r="F709" s="3" t="s">
        <v>2477</v>
      </c>
    </row>
    <row r="710" spans="1:6" ht="66" customHeight="1">
      <c r="A710" s="3" t="s">
        <v>1669</v>
      </c>
      <c r="B710" s="3" t="s">
        <v>2478</v>
      </c>
      <c r="C710" s="3" t="s">
        <v>1362</v>
      </c>
      <c r="D710" s="3" t="s">
        <v>1366</v>
      </c>
      <c r="E710" s="3" t="s">
        <v>2479</v>
      </c>
      <c r="F710" s="3" t="s">
        <v>1183</v>
      </c>
    </row>
    <row r="711" spans="1:6" ht="66" customHeight="1">
      <c r="A711" s="3" t="s">
        <v>1669</v>
      </c>
      <c r="B711" s="3" t="s">
        <v>1184</v>
      </c>
      <c r="C711" s="3" t="s">
        <v>1359</v>
      </c>
      <c r="D711" s="3" t="s">
        <v>1672</v>
      </c>
      <c r="E711" s="3" t="s">
        <v>1181</v>
      </c>
      <c r="F711" s="3" t="s">
        <v>1183</v>
      </c>
    </row>
    <row r="712" spans="1:6" ht="66" customHeight="1">
      <c r="A712" s="3" t="s">
        <v>1669</v>
      </c>
      <c r="B712" s="3" t="s">
        <v>2480</v>
      </c>
      <c r="C712" s="3" t="s">
        <v>1362</v>
      </c>
      <c r="D712" s="3" t="s">
        <v>1366</v>
      </c>
      <c r="E712" s="3" t="s">
        <v>2481</v>
      </c>
      <c r="F712" s="3" t="s">
        <v>1183</v>
      </c>
    </row>
    <row r="713" spans="1:6" ht="66" customHeight="1">
      <c r="A713" s="3" t="s">
        <v>1669</v>
      </c>
      <c r="B713" s="3" t="s">
        <v>2482</v>
      </c>
      <c r="C713" s="3" t="s">
        <v>1762</v>
      </c>
      <c r="D713" s="3" t="s">
        <v>2483</v>
      </c>
      <c r="E713" s="3" t="s">
        <v>2484</v>
      </c>
      <c r="F713" s="3" t="s">
        <v>1188</v>
      </c>
    </row>
    <row r="714" spans="1:6" ht="66" customHeight="1">
      <c r="A714" s="3" t="s">
        <v>1669</v>
      </c>
      <c r="B714" s="3" t="s">
        <v>2485</v>
      </c>
      <c r="C714" s="3" t="s">
        <v>1762</v>
      </c>
      <c r="D714" s="3" t="s">
        <v>2486</v>
      </c>
      <c r="E714" s="3" t="s">
        <v>2487</v>
      </c>
      <c r="F714" s="3" t="s">
        <v>2488</v>
      </c>
    </row>
    <row r="715" spans="1:6" ht="66" customHeight="1">
      <c r="A715" s="3" t="s">
        <v>1669</v>
      </c>
      <c r="B715" s="3" t="s">
        <v>2489</v>
      </c>
      <c r="C715" s="3" t="s">
        <v>1362</v>
      </c>
      <c r="D715" s="3" t="s">
        <v>1366</v>
      </c>
      <c r="E715" s="3" t="s">
        <v>2490</v>
      </c>
      <c r="F715" s="3" t="s">
        <v>2488</v>
      </c>
    </row>
    <row r="716" spans="1:6" ht="66" customHeight="1">
      <c r="A716" s="3" t="s">
        <v>1669</v>
      </c>
      <c r="B716" s="3" t="s">
        <v>1199</v>
      </c>
      <c r="C716" s="3" t="s">
        <v>1359</v>
      </c>
      <c r="D716" s="3" t="s">
        <v>1672</v>
      </c>
      <c r="E716" s="3" t="s">
        <v>1196</v>
      </c>
      <c r="F716" s="3" t="s">
        <v>1198</v>
      </c>
    </row>
    <row r="717" spans="1:6" ht="66" customHeight="1">
      <c r="A717" s="3" t="s">
        <v>1669</v>
      </c>
      <c r="B717" s="3" t="s">
        <v>1204</v>
      </c>
      <c r="C717" s="3" t="s">
        <v>1359</v>
      </c>
      <c r="D717" s="3" t="s">
        <v>1672</v>
      </c>
      <c r="E717" s="3" t="s">
        <v>1201</v>
      </c>
      <c r="F717" s="3" t="s">
        <v>1203</v>
      </c>
    </row>
    <row r="718" spans="1:6" ht="66" customHeight="1">
      <c r="A718" s="3" t="s">
        <v>1669</v>
      </c>
      <c r="B718" s="3" t="s">
        <v>2491</v>
      </c>
      <c r="C718" s="3" t="s">
        <v>1762</v>
      </c>
      <c r="D718" s="3" t="s">
        <v>2492</v>
      </c>
      <c r="E718" s="3" t="s">
        <v>2493</v>
      </c>
      <c r="F718" s="3" t="s">
        <v>2494</v>
      </c>
    </row>
    <row r="719" spans="1:6" ht="66" customHeight="1">
      <c r="A719" s="3" t="s">
        <v>1669</v>
      </c>
      <c r="B719" s="3" t="s">
        <v>2495</v>
      </c>
      <c r="C719" s="3" t="s">
        <v>1362</v>
      </c>
      <c r="D719" s="3" t="s">
        <v>1366</v>
      </c>
      <c r="E719" s="3" t="s">
        <v>1211</v>
      </c>
      <c r="F719" s="3" t="s">
        <v>2496</v>
      </c>
    </row>
    <row r="720" spans="1:6" ht="66" customHeight="1">
      <c r="A720" s="3" t="s">
        <v>1669</v>
      </c>
      <c r="B720" s="3" t="s">
        <v>1219</v>
      </c>
      <c r="C720" s="3" t="s">
        <v>1359</v>
      </c>
      <c r="D720" s="3" t="s">
        <v>1672</v>
      </c>
      <c r="E720" s="3" t="s">
        <v>1216</v>
      </c>
      <c r="F720" s="3" t="s">
        <v>1218</v>
      </c>
    </row>
    <row r="721" spans="1:6" ht="66" customHeight="1">
      <c r="A721" s="3" t="s">
        <v>1669</v>
      </c>
      <c r="B721" s="3" t="s">
        <v>2497</v>
      </c>
      <c r="C721" s="3" t="s">
        <v>1362</v>
      </c>
      <c r="D721" s="3" t="s">
        <v>1366</v>
      </c>
      <c r="E721" s="3" t="s">
        <v>2498</v>
      </c>
      <c r="F721" s="3" t="s">
        <v>1218</v>
      </c>
    </row>
    <row r="722" spans="1:6" ht="66" customHeight="1">
      <c r="A722" s="3" t="s">
        <v>1669</v>
      </c>
      <c r="B722" s="3" t="s">
        <v>2499</v>
      </c>
      <c r="C722" s="3" t="s">
        <v>1362</v>
      </c>
      <c r="D722" s="3" t="s">
        <v>1366</v>
      </c>
      <c r="E722" s="3" t="s">
        <v>1651</v>
      </c>
      <c r="F722" s="3" t="s">
        <v>1652</v>
      </c>
    </row>
    <row r="723" spans="1:6" ht="66" customHeight="1">
      <c r="A723" s="3" t="s">
        <v>1669</v>
      </c>
      <c r="B723" s="3" t="s">
        <v>1229</v>
      </c>
      <c r="C723" s="3" t="s">
        <v>1359</v>
      </c>
      <c r="D723" s="3" t="s">
        <v>1672</v>
      </c>
      <c r="E723" s="3" t="s">
        <v>1226</v>
      </c>
      <c r="F723" s="3" t="s">
        <v>1228</v>
      </c>
    </row>
    <row r="724" spans="1:6" ht="66" customHeight="1">
      <c r="A724" s="3" t="s">
        <v>1669</v>
      </c>
      <c r="B724" s="3" t="s">
        <v>2500</v>
      </c>
      <c r="C724" s="3" t="s">
        <v>1362</v>
      </c>
      <c r="D724" s="3" t="s">
        <v>1366</v>
      </c>
      <c r="E724" s="3" t="s">
        <v>2501</v>
      </c>
      <c r="F724" s="3" t="s">
        <v>1228</v>
      </c>
    </row>
    <row r="725" spans="1:6" ht="66" customHeight="1">
      <c r="A725" s="3" t="s">
        <v>1669</v>
      </c>
      <c r="B725" s="3" t="s">
        <v>2502</v>
      </c>
      <c r="C725" s="3" t="s">
        <v>1362</v>
      </c>
      <c r="D725" s="3" t="s">
        <v>1366</v>
      </c>
      <c r="E725" s="3" t="s">
        <v>2503</v>
      </c>
      <c r="F725" s="3" t="s">
        <v>2504</v>
      </c>
    </row>
    <row r="726" spans="1:6" ht="66" customHeight="1">
      <c r="A726" s="3" t="s">
        <v>1669</v>
      </c>
      <c r="B726" s="3" t="s">
        <v>2505</v>
      </c>
      <c r="C726" s="3" t="s">
        <v>1362</v>
      </c>
      <c r="D726" s="3" t="s">
        <v>1366</v>
      </c>
      <c r="E726" s="3" t="s">
        <v>2506</v>
      </c>
      <c r="F726" s="3" t="s">
        <v>2507</v>
      </c>
    </row>
    <row r="727" spans="1:6" ht="66" customHeight="1">
      <c r="A727" s="3" t="s">
        <v>1669</v>
      </c>
      <c r="B727" s="3" t="s">
        <v>2508</v>
      </c>
      <c r="C727" s="3" t="s">
        <v>1362</v>
      </c>
      <c r="D727" s="3" t="s">
        <v>1366</v>
      </c>
      <c r="E727" s="3" t="s">
        <v>2509</v>
      </c>
      <c r="F727" s="3" t="s">
        <v>1233</v>
      </c>
    </row>
    <row r="728" spans="1:6" ht="66" customHeight="1">
      <c r="A728" s="3" t="s">
        <v>1669</v>
      </c>
      <c r="B728" s="3" t="s">
        <v>2510</v>
      </c>
      <c r="C728" s="3" t="s">
        <v>1362</v>
      </c>
      <c r="D728" s="3" t="s">
        <v>1366</v>
      </c>
      <c r="E728" s="3" t="s">
        <v>2511</v>
      </c>
      <c r="F728" s="3" t="s">
        <v>2512</v>
      </c>
    </row>
    <row r="729" spans="1:6" ht="66" customHeight="1">
      <c r="A729" s="3" t="s">
        <v>1669</v>
      </c>
      <c r="B729" s="3" t="s">
        <v>1243</v>
      </c>
      <c r="C729" s="3" t="s">
        <v>1359</v>
      </c>
      <c r="D729" s="3" t="s">
        <v>1672</v>
      </c>
      <c r="E729" s="3" t="s">
        <v>1241</v>
      </c>
      <c r="F729" s="3" t="s">
        <v>1238</v>
      </c>
    </row>
    <row r="730" spans="1:6" ht="66" customHeight="1">
      <c r="A730" s="3" t="s">
        <v>1669</v>
      </c>
      <c r="B730" s="3" t="s">
        <v>2513</v>
      </c>
      <c r="C730" s="3" t="s">
        <v>1362</v>
      </c>
      <c r="D730" s="3" t="s">
        <v>1366</v>
      </c>
      <c r="E730" s="3" t="s">
        <v>2514</v>
      </c>
      <c r="F730" s="3" t="s">
        <v>2515</v>
      </c>
    </row>
    <row r="731" spans="1:6" ht="66" customHeight="1">
      <c r="A731" s="3" t="s">
        <v>1669</v>
      </c>
      <c r="B731" s="3" t="s">
        <v>2516</v>
      </c>
      <c r="C731" s="3" t="s">
        <v>1362</v>
      </c>
      <c r="D731" s="3" t="s">
        <v>1366</v>
      </c>
      <c r="E731" s="3" t="s">
        <v>2517</v>
      </c>
      <c r="F731" s="3" t="s">
        <v>2518</v>
      </c>
    </row>
    <row r="732" spans="1:6" ht="66" customHeight="1">
      <c r="A732" s="3" t="s">
        <v>1669</v>
      </c>
      <c r="B732" s="3" t="s">
        <v>2519</v>
      </c>
      <c r="C732" s="3" t="s">
        <v>1762</v>
      </c>
      <c r="D732" s="3" t="s">
        <v>2520</v>
      </c>
      <c r="E732" s="3" t="s">
        <v>2521</v>
      </c>
      <c r="F732" s="3" t="s">
        <v>2522</v>
      </c>
    </row>
    <row r="733" spans="1:6" ht="66" customHeight="1">
      <c r="A733" s="3" t="s">
        <v>1669</v>
      </c>
      <c r="B733" s="3" t="s">
        <v>2523</v>
      </c>
      <c r="C733" s="3" t="s">
        <v>1362</v>
      </c>
      <c r="D733" s="3" t="s">
        <v>1366</v>
      </c>
      <c r="E733" s="3" t="s">
        <v>2524</v>
      </c>
      <c r="F733" s="3" t="s">
        <v>2522</v>
      </c>
    </row>
    <row r="734" spans="1:6" ht="66" customHeight="1">
      <c r="A734" s="3" t="s">
        <v>1669</v>
      </c>
      <c r="B734" s="3" t="s">
        <v>2525</v>
      </c>
      <c r="C734" s="3" t="s">
        <v>1762</v>
      </c>
      <c r="D734" s="3" t="s">
        <v>2526</v>
      </c>
      <c r="E734" s="3" t="s">
        <v>2527</v>
      </c>
      <c r="F734" s="3" t="s">
        <v>1257</v>
      </c>
    </row>
    <row r="735" spans="1:6" ht="66" customHeight="1">
      <c r="A735" s="3" t="s">
        <v>1669</v>
      </c>
      <c r="B735" s="3" t="s">
        <v>1258</v>
      </c>
      <c r="C735" s="3" t="s">
        <v>1359</v>
      </c>
      <c r="D735" s="3" t="s">
        <v>1672</v>
      </c>
      <c r="E735" s="3" t="s">
        <v>1255</v>
      </c>
      <c r="F735" s="3" t="s">
        <v>1257</v>
      </c>
    </row>
    <row r="736" spans="1:6" ht="66" customHeight="1">
      <c r="A736" s="3" t="s">
        <v>1669</v>
      </c>
      <c r="B736" s="3" t="s">
        <v>2528</v>
      </c>
      <c r="C736" s="3" t="s">
        <v>1362</v>
      </c>
      <c r="D736" s="3" t="s">
        <v>1366</v>
      </c>
      <c r="E736" s="3" t="s">
        <v>2529</v>
      </c>
      <c r="F736" s="3" t="s">
        <v>2530</v>
      </c>
    </row>
    <row r="737" spans="1:6" ht="66" customHeight="1">
      <c r="A737" s="3" t="s">
        <v>1669</v>
      </c>
      <c r="B737" s="3" t="s">
        <v>1268</v>
      </c>
      <c r="C737" s="3" t="s">
        <v>1359</v>
      </c>
      <c r="D737" s="3" t="s">
        <v>1672</v>
      </c>
      <c r="E737" s="3" t="s">
        <v>1265</v>
      </c>
      <c r="F737" s="3" t="s">
        <v>1267</v>
      </c>
    </row>
    <row r="738" spans="1:6" ht="66" customHeight="1">
      <c r="A738" s="3" t="s">
        <v>1669</v>
      </c>
      <c r="B738" s="3" t="s">
        <v>2531</v>
      </c>
      <c r="C738" s="3" t="s">
        <v>1362</v>
      </c>
      <c r="D738" s="3" t="s">
        <v>1366</v>
      </c>
      <c r="E738" s="3" t="s">
        <v>2532</v>
      </c>
      <c r="F738" s="3" t="s">
        <v>1267</v>
      </c>
    </row>
    <row r="739" spans="1:6" ht="66" customHeight="1">
      <c r="A739" s="3" t="s">
        <v>1669</v>
      </c>
      <c r="B739" s="3" t="s">
        <v>2533</v>
      </c>
      <c r="C739" s="3" t="s">
        <v>1362</v>
      </c>
      <c r="D739" s="3" t="s">
        <v>2195</v>
      </c>
      <c r="E739" s="3" t="s">
        <v>2534</v>
      </c>
      <c r="F739" s="3" t="s">
        <v>1272</v>
      </c>
    </row>
    <row r="740" spans="1:6" ht="66" customHeight="1">
      <c r="A740" s="3" t="s">
        <v>1669</v>
      </c>
      <c r="B740" s="3" t="s">
        <v>1282</v>
      </c>
      <c r="C740" s="3" t="s">
        <v>1359</v>
      </c>
      <c r="D740" s="3" t="s">
        <v>1672</v>
      </c>
      <c r="E740" s="3" t="s">
        <v>1277</v>
      </c>
      <c r="F740" s="3" t="s">
        <v>1278</v>
      </c>
    </row>
    <row r="741" spans="1:6" ht="66" customHeight="1">
      <c r="A741" s="3" t="s">
        <v>1669</v>
      </c>
      <c r="B741" s="3" t="s">
        <v>2535</v>
      </c>
      <c r="C741" s="3" t="s">
        <v>1362</v>
      </c>
      <c r="D741" s="3" t="s">
        <v>1366</v>
      </c>
      <c r="E741" s="3" t="s">
        <v>2536</v>
      </c>
      <c r="F741" s="3" t="s">
        <v>2537</v>
      </c>
    </row>
    <row r="742" spans="1:6" ht="66" customHeight="1">
      <c r="A742" s="3" t="s">
        <v>1669</v>
      </c>
      <c r="B742" s="3" t="s">
        <v>2538</v>
      </c>
      <c r="C742" s="3" t="s">
        <v>1362</v>
      </c>
      <c r="D742" s="3" t="s">
        <v>1366</v>
      </c>
      <c r="E742" s="3" t="s">
        <v>2539</v>
      </c>
      <c r="F742" s="3" t="s">
        <v>2537</v>
      </c>
    </row>
    <row r="743" spans="1:6" ht="66" customHeight="1">
      <c r="A743" s="3" t="s">
        <v>1669</v>
      </c>
      <c r="B743" s="3" t="s">
        <v>2540</v>
      </c>
      <c r="C743" s="3" t="s">
        <v>1362</v>
      </c>
      <c r="D743" s="3" t="s">
        <v>1366</v>
      </c>
      <c r="E743" s="3" t="s">
        <v>1660</v>
      </c>
      <c r="F743" s="3" t="s">
        <v>2541</v>
      </c>
    </row>
    <row r="744" spans="1:6" ht="66" customHeight="1">
      <c r="A744" s="3" t="s">
        <v>1669</v>
      </c>
      <c r="B744" s="3" t="s">
        <v>2542</v>
      </c>
      <c r="C744" s="3" t="s">
        <v>1362</v>
      </c>
      <c r="D744" s="3" t="s">
        <v>1366</v>
      </c>
      <c r="E744" s="3" t="s">
        <v>1658</v>
      </c>
      <c r="F744" s="3" t="s">
        <v>2541</v>
      </c>
    </row>
    <row r="745" spans="1:6" ht="66" customHeight="1">
      <c r="A745" s="3" t="s">
        <v>1669</v>
      </c>
      <c r="B745" s="3" t="s">
        <v>2543</v>
      </c>
      <c r="C745" s="3" t="s">
        <v>1762</v>
      </c>
      <c r="D745" s="3" t="s">
        <v>2544</v>
      </c>
      <c r="E745" s="3" t="s">
        <v>2545</v>
      </c>
      <c r="F745" s="3" t="s">
        <v>2546</v>
      </c>
    </row>
    <row r="746" spans="1:6" ht="66" customHeight="1">
      <c r="A746" s="3" t="s">
        <v>1669</v>
      </c>
      <c r="B746" s="3" t="s">
        <v>2547</v>
      </c>
      <c r="C746" s="3" t="s">
        <v>1762</v>
      </c>
      <c r="D746" s="3" t="s">
        <v>2548</v>
      </c>
      <c r="E746" s="3" t="s">
        <v>2549</v>
      </c>
      <c r="F746" s="3" t="s">
        <v>2550</v>
      </c>
    </row>
    <row r="747" spans="1:6" ht="66" customHeight="1">
      <c r="A747" s="3" t="s">
        <v>1669</v>
      </c>
      <c r="B747" s="3" t="s">
        <v>2551</v>
      </c>
      <c r="C747" s="3" t="s">
        <v>1762</v>
      </c>
      <c r="D747" s="3" t="s">
        <v>2552</v>
      </c>
      <c r="E747" s="3" t="s">
        <v>2553</v>
      </c>
      <c r="F747" s="3" t="s">
        <v>1312</v>
      </c>
    </row>
    <row r="748" spans="1:6" ht="66" customHeight="1">
      <c r="A748" s="3" t="s">
        <v>1669</v>
      </c>
      <c r="B748" s="3" t="s">
        <v>2554</v>
      </c>
      <c r="C748" s="3" t="s">
        <v>1762</v>
      </c>
      <c r="D748" s="3" t="s">
        <v>2555</v>
      </c>
      <c r="E748" s="3" t="s">
        <v>2556</v>
      </c>
      <c r="F748" s="3" t="s">
        <v>2557</v>
      </c>
    </row>
    <row r="749" spans="1:6" ht="66" customHeight="1">
      <c r="A749" s="3" t="s">
        <v>1669</v>
      </c>
      <c r="B749" s="3" t="s">
        <v>2558</v>
      </c>
      <c r="C749" s="3" t="s">
        <v>1362</v>
      </c>
      <c r="D749" s="3" t="s">
        <v>1366</v>
      </c>
      <c r="E749" s="3" t="s">
        <v>1668</v>
      </c>
      <c r="F749" s="3" t="s">
        <v>2559</v>
      </c>
    </row>
    <row r="750" spans="1:6" ht="66" customHeight="1">
      <c r="A750" s="3" t="s">
        <v>1669</v>
      </c>
      <c r="B750" s="3" t="s">
        <v>1324</v>
      </c>
      <c r="C750" s="3" t="s">
        <v>1359</v>
      </c>
      <c r="D750" s="3" t="s">
        <v>1672</v>
      </c>
      <c r="E750" s="3" t="s">
        <v>1322</v>
      </c>
      <c r="F750" s="3" t="s">
        <v>1323</v>
      </c>
    </row>
    <row r="751" spans="1:6" ht="66" customHeight="1">
      <c r="A751" s="3" t="s">
        <v>1669</v>
      </c>
      <c r="B751" s="3" t="s">
        <v>2560</v>
      </c>
      <c r="C751" s="3" t="s">
        <v>1362</v>
      </c>
      <c r="D751" s="3" t="s">
        <v>1366</v>
      </c>
      <c r="E751" s="3" t="s">
        <v>2561</v>
      </c>
      <c r="F751" s="3" t="s">
        <v>2559</v>
      </c>
    </row>
    <row r="752" spans="1:6" ht="66" customHeight="1">
      <c r="A752" s="3" t="s">
        <v>1669</v>
      </c>
      <c r="B752" s="3" t="s">
        <v>1330</v>
      </c>
      <c r="C752" s="3" t="s">
        <v>1359</v>
      </c>
      <c r="D752" s="3" t="s">
        <v>1672</v>
      </c>
      <c r="E752" s="3" t="s">
        <v>1328</v>
      </c>
      <c r="F752" s="3" t="s">
        <v>1329</v>
      </c>
    </row>
    <row r="753" spans="1:6" ht="66" customHeight="1">
      <c r="A753" s="3" t="s">
        <v>1669</v>
      </c>
      <c r="B753" s="3" t="s">
        <v>1335</v>
      </c>
      <c r="C753" s="3" t="s">
        <v>1359</v>
      </c>
      <c r="D753" s="3" t="s">
        <v>1672</v>
      </c>
      <c r="E753" s="3" t="s">
        <v>1334</v>
      </c>
      <c r="F753" s="3" t="s">
        <v>1329</v>
      </c>
    </row>
    <row r="754" spans="1:6" ht="66" customHeight="1">
      <c r="A754" s="3" t="s">
        <v>1669</v>
      </c>
      <c r="B754" s="3" t="s">
        <v>2562</v>
      </c>
      <c r="C754" s="3" t="s">
        <v>1362</v>
      </c>
      <c r="D754" s="3" t="s">
        <v>1366</v>
      </c>
      <c r="E754" s="3" t="s">
        <v>2563</v>
      </c>
      <c r="F754" s="3" t="s">
        <v>2564</v>
      </c>
    </row>
    <row r="755" spans="1:6" ht="66" customHeight="1">
      <c r="A755" s="3" t="s">
        <v>1669</v>
      </c>
      <c r="B755" s="3" t="s">
        <v>2565</v>
      </c>
      <c r="C755" s="3" t="s">
        <v>1762</v>
      </c>
      <c r="D755" s="3" t="s">
        <v>2566</v>
      </c>
      <c r="E755" s="3" t="s">
        <v>2567</v>
      </c>
      <c r="F755" s="3" t="s">
        <v>2568</v>
      </c>
    </row>
    <row r="756" spans="1:6" ht="66" customHeight="1">
      <c r="A756" s="3" t="s">
        <v>1669</v>
      </c>
      <c r="B756" s="3" t="s">
        <v>2569</v>
      </c>
      <c r="C756" s="3" t="s">
        <v>1362</v>
      </c>
      <c r="D756" s="3" t="s">
        <v>1366</v>
      </c>
      <c r="E756" s="3" t="s">
        <v>2570</v>
      </c>
      <c r="F756" s="3" t="s">
        <v>2568</v>
      </c>
    </row>
    <row r="757" spans="1:6" ht="66" customHeight="1">
      <c r="A757" s="3" t="s">
        <v>1669</v>
      </c>
      <c r="B757" s="3" t="s">
        <v>2571</v>
      </c>
      <c r="C757" s="3" t="s">
        <v>1762</v>
      </c>
      <c r="D757" s="3" t="s">
        <v>2572</v>
      </c>
      <c r="E757" s="3" t="s">
        <v>2573</v>
      </c>
      <c r="F757" s="3" t="s">
        <v>1349</v>
      </c>
    </row>
    <row r="758" spans="1:6" ht="66" customHeight="1">
      <c r="A758" s="3" t="s">
        <v>1669</v>
      </c>
      <c r="B758" s="3" t="s">
        <v>1350</v>
      </c>
      <c r="C758" s="3" t="s">
        <v>1359</v>
      </c>
      <c r="D758" s="3" t="s">
        <v>1672</v>
      </c>
      <c r="E758" s="3" t="s">
        <v>1347</v>
      </c>
      <c r="F758" s="3" t="s">
        <v>1349</v>
      </c>
    </row>
    <row r="759" spans="1:6" ht="66" customHeight="1">
      <c r="A759" s="4" t="s">
        <v>1669</v>
      </c>
      <c r="B759" s="4" t="s">
        <v>2574</v>
      </c>
      <c r="C759" s="4" t="s">
        <v>1362</v>
      </c>
      <c r="D759" s="4" t="s">
        <v>1366</v>
      </c>
      <c r="E759" s="4" t="s">
        <v>2575</v>
      </c>
      <c r="F759" s="4" t="s">
        <v>2576</v>
      </c>
    </row>
  </sheetData>
  <mergeCells count="2">
    <mergeCell ref="A1:F1"/>
    <mergeCell ref="A2:F2"/>
  </mergeCells>
  <conditionalFormatting sqref="C5:C759">
    <cfRule type="containsText" dxfId="2" priority="1" operator="containsText" text="REMOVE"/>
    <cfRule type="containsText" dxfId="1" priority="2" operator="containsText" text="DUPLICATE"/>
    <cfRule type="containsText" dxfId="0" priority="3" operator="containsText" text="KEEP"/>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5"/>
  <sheetViews>
    <sheetView showGridLines="0" workbookViewId="0"/>
  </sheetViews>
  <sheetFormatPr baseColWidth="10" defaultColWidth="8.83203125" defaultRowHeight="15"/>
  <cols>
    <col min="1" max="1" width="12" customWidth="1"/>
    <col min="2" max="2" width="50" customWidth="1"/>
    <col min="3" max="4" width="11" customWidth="1"/>
    <col min="5" max="5" width="22" customWidth="1"/>
    <col min="6" max="6" width="25" customWidth="1"/>
    <col min="7" max="7" width="22" customWidth="1"/>
    <col min="8" max="8" width="38" customWidth="1"/>
    <col min="9" max="9" width="48" customWidth="1"/>
    <col min="10" max="10" width="16" customWidth="1"/>
    <col min="11" max="11" width="18" customWidth="1"/>
    <col min="12" max="12" width="44" customWidth="1"/>
    <col min="13" max="13" width="30" customWidth="1"/>
    <col min="14" max="14" width="36" customWidth="1"/>
    <col min="15" max="15" width="20" customWidth="1"/>
    <col min="16" max="16" width="35" customWidth="1"/>
  </cols>
  <sheetData>
    <row r="1" spans="1:16" ht="30" customHeight="1">
      <c r="A1" s="22" t="s">
        <v>2577</v>
      </c>
      <c r="B1" s="22"/>
      <c r="C1" s="22"/>
      <c r="D1" s="22"/>
      <c r="E1" s="22"/>
      <c r="F1" s="22"/>
      <c r="G1" s="22"/>
      <c r="H1" s="22"/>
      <c r="I1" s="22"/>
      <c r="J1" s="22"/>
      <c r="K1" s="22"/>
      <c r="L1" s="22"/>
      <c r="M1" s="22"/>
      <c r="N1" s="22"/>
      <c r="O1" s="22"/>
      <c r="P1" s="22"/>
    </row>
    <row r="2" spans="1:16" ht="42" customHeight="1">
      <c r="A2" s="23" t="s">
        <v>2578</v>
      </c>
      <c r="B2" s="23"/>
      <c r="C2" s="23"/>
      <c r="D2" s="23"/>
      <c r="E2" s="23"/>
      <c r="F2" s="23"/>
      <c r="G2" s="23"/>
      <c r="H2" s="23"/>
      <c r="I2" s="23"/>
      <c r="J2" s="23"/>
      <c r="K2" s="23"/>
      <c r="L2" s="23"/>
      <c r="M2" s="23"/>
      <c r="N2" s="23"/>
      <c r="O2" s="23"/>
      <c r="P2" s="23"/>
    </row>
    <row r="4" spans="1:16" ht="36" customHeight="1">
      <c r="A4" s="1" t="s">
        <v>8</v>
      </c>
      <c r="B4" s="1" t="s">
        <v>2579</v>
      </c>
      <c r="C4" s="1" t="s">
        <v>2580</v>
      </c>
      <c r="D4" s="1" t="s">
        <v>2581</v>
      </c>
      <c r="E4" s="1" t="s">
        <v>2582</v>
      </c>
      <c r="F4" s="1" t="s">
        <v>2583</v>
      </c>
      <c r="G4" s="1" t="s">
        <v>2584</v>
      </c>
      <c r="H4" s="1" t="s">
        <v>2585</v>
      </c>
      <c r="I4" s="1" t="s">
        <v>2586</v>
      </c>
      <c r="J4" s="1" t="s">
        <v>2587</v>
      </c>
      <c r="K4" s="1" t="s">
        <v>2588</v>
      </c>
      <c r="L4" s="1" t="s">
        <v>2589</v>
      </c>
      <c r="M4" s="1" t="s">
        <v>2590</v>
      </c>
      <c r="N4" s="1" t="s">
        <v>2591</v>
      </c>
      <c r="O4" s="1" t="s">
        <v>2592</v>
      </c>
      <c r="P4" s="1" t="s">
        <v>2593</v>
      </c>
    </row>
    <row r="5" spans="1:16" ht="64" customHeight="1">
      <c r="A5" s="2" t="s">
        <v>32</v>
      </c>
      <c r="B5" s="2" t="s">
        <v>31</v>
      </c>
      <c r="C5" s="2">
        <v>1</v>
      </c>
      <c r="D5" s="2">
        <v>10</v>
      </c>
      <c r="E5" s="2" t="s">
        <v>34</v>
      </c>
      <c r="F5" s="2" t="s">
        <v>34</v>
      </c>
      <c r="G5" s="2" t="s">
        <v>2594</v>
      </c>
      <c r="H5" s="2" t="s">
        <v>2595</v>
      </c>
      <c r="I5" s="2" t="s">
        <v>2596</v>
      </c>
      <c r="J5" s="2">
        <f>COUNTIF(Cleaned_QA_Pairs!$G$5:$G$261,A5)</f>
        <v>4</v>
      </c>
      <c r="K5" s="2">
        <f>COUNTIF(Added_From_CSV!$G$5:$G$120,A5)</f>
        <v>4</v>
      </c>
      <c r="L5" s="2" t="s">
        <v>2597</v>
      </c>
      <c r="M5" s="2" t="s">
        <v>2598</v>
      </c>
      <c r="N5" s="2" t="s">
        <v>2599</v>
      </c>
      <c r="O5" s="8" t="s">
        <v>45</v>
      </c>
      <c r="P5" s="8"/>
    </row>
    <row r="6" spans="1:16" ht="64" customHeight="1">
      <c r="A6" s="3" t="s">
        <v>68</v>
      </c>
      <c r="B6" s="3" t="s">
        <v>67</v>
      </c>
      <c r="C6" s="3">
        <v>11</v>
      </c>
      <c r="D6" s="3">
        <v>79</v>
      </c>
      <c r="E6" s="3" t="s">
        <v>34</v>
      </c>
      <c r="F6" s="3" t="s">
        <v>69</v>
      </c>
      <c r="G6" s="3" t="s">
        <v>2600</v>
      </c>
      <c r="H6" s="3" t="s">
        <v>2601</v>
      </c>
      <c r="I6" s="3" t="s">
        <v>2602</v>
      </c>
      <c r="J6" s="3">
        <f>COUNTIF(Cleaned_QA_Pairs!$G$5:$G$261,A6)</f>
        <v>42</v>
      </c>
      <c r="K6" s="3">
        <f>COUNTIF(Added_From_CSV!$G$5:$G$120,A6)</f>
        <v>28</v>
      </c>
      <c r="L6" s="3" t="s">
        <v>2603</v>
      </c>
      <c r="M6" s="3" t="s">
        <v>2598</v>
      </c>
      <c r="N6" s="3" t="s">
        <v>2604</v>
      </c>
      <c r="O6" s="9" t="s">
        <v>45</v>
      </c>
      <c r="P6" s="9"/>
    </row>
    <row r="7" spans="1:16" ht="64" customHeight="1">
      <c r="A7" s="3" t="s">
        <v>301</v>
      </c>
      <c r="B7" s="3" t="s">
        <v>300</v>
      </c>
      <c r="C7" s="3">
        <v>80</v>
      </c>
      <c r="D7" s="3">
        <v>96</v>
      </c>
      <c r="E7" s="3" t="s">
        <v>34</v>
      </c>
      <c r="F7" s="3" t="s">
        <v>302</v>
      </c>
      <c r="G7" s="3" t="s">
        <v>2594</v>
      </c>
      <c r="H7" s="3" t="s">
        <v>2605</v>
      </c>
      <c r="I7" s="3" t="s">
        <v>2606</v>
      </c>
      <c r="J7" s="3">
        <f>COUNTIF(Cleaned_QA_Pairs!$G$5:$G$261,A7)</f>
        <v>13</v>
      </c>
      <c r="K7" s="3">
        <f>COUNTIF(Added_From_CSV!$G$5:$G$120,A7)</f>
        <v>2</v>
      </c>
      <c r="L7" s="3" t="s">
        <v>2603</v>
      </c>
      <c r="M7" s="3" t="s">
        <v>2598</v>
      </c>
      <c r="N7" s="3" t="s">
        <v>2604</v>
      </c>
      <c r="O7" s="9" t="s">
        <v>45</v>
      </c>
      <c r="P7" s="9"/>
    </row>
    <row r="8" spans="1:16" ht="64" customHeight="1">
      <c r="A8" s="3" t="s">
        <v>368</v>
      </c>
      <c r="B8" s="3" t="s">
        <v>367</v>
      </c>
      <c r="C8" s="3">
        <v>97</v>
      </c>
      <c r="D8" s="3">
        <v>191</v>
      </c>
      <c r="E8" s="3" t="s">
        <v>34</v>
      </c>
      <c r="F8" s="3" t="s">
        <v>369</v>
      </c>
      <c r="G8" s="3" t="s">
        <v>2594</v>
      </c>
      <c r="H8" s="3" t="s">
        <v>2607</v>
      </c>
      <c r="I8" s="3" t="s">
        <v>2608</v>
      </c>
      <c r="J8" s="3">
        <f>COUNTIF(Cleaned_QA_Pairs!$G$5:$G$261,A8)</f>
        <v>15</v>
      </c>
      <c r="K8" s="3">
        <f>COUNTIF(Added_From_CSV!$G$5:$G$120,A8)</f>
        <v>7</v>
      </c>
      <c r="L8" s="3" t="s">
        <v>2603</v>
      </c>
      <c r="M8" s="3" t="s">
        <v>2598</v>
      </c>
      <c r="N8" s="3" t="s">
        <v>2604</v>
      </c>
      <c r="O8" s="9" t="s">
        <v>45</v>
      </c>
      <c r="P8" s="9"/>
    </row>
    <row r="9" spans="1:16" ht="64" customHeight="1">
      <c r="A9" s="3" t="s">
        <v>445</v>
      </c>
      <c r="B9" s="3" t="s">
        <v>444</v>
      </c>
      <c r="C9" s="3">
        <v>191</v>
      </c>
      <c r="D9" s="3">
        <v>259</v>
      </c>
      <c r="E9" s="3" t="s">
        <v>34</v>
      </c>
      <c r="F9" s="3" t="s">
        <v>446</v>
      </c>
      <c r="G9" s="3" t="s">
        <v>2609</v>
      </c>
      <c r="H9" s="3" t="s">
        <v>2610</v>
      </c>
      <c r="I9" s="3" t="s">
        <v>2611</v>
      </c>
      <c r="J9" s="3">
        <f>COUNTIF(Cleaned_QA_Pairs!$G$5:$G$261,A9)</f>
        <v>35</v>
      </c>
      <c r="K9" s="3">
        <f>COUNTIF(Added_From_CSV!$G$5:$G$120,A9)</f>
        <v>13</v>
      </c>
      <c r="L9" s="3" t="s">
        <v>2603</v>
      </c>
      <c r="M9" s="3" t="s">
        <v>2598</v>
      </c>
      <c r="N9" s="3" t="s">
        <v>2604</v>
      </c>
      <c r="O9" s="9" t="s">
        <v>45</v>
      </c>
      <c r="P9" s="9"/>
    </row>
    <row r="10" spans="1:16" ht="64" customHeight="1">
      <c r="A10" s="3" t="s">
        <v>620</v>
      </c>
      <c r="B10" s="3" t="s">
        <v>619</v>
      </c>
      <c r="C10" s="3">
        <v>260</v>
      </c>
      <c r="D10" s="3">
        <v>328</v>
      </c>
      <c r="E10" s="3" t="s">
        <v>34</v>
      </c>
      <c r="F10" s="3" t="s">
        <v>621</v>
      </c>
      <c r="G10" s="3" t="s">
        <v>2612</v>
      </c>
      <c r="H10" s="3" t="s">
        <v>2613</v>
      </c>
      <c r="I10" s="3" t="s">
        <v>2614</v>
      </c>
      <c r="J10" s="3">
        <f>COUNTIF(Cleaned_QA_Pairs!$G$5:$G$261,A10)</f>
        <v>35</v>
      </c>
      <c r="K10" s="3">
        <f>COUNTIF(Added_From_CSV!$G$5:$G$120,A10)</f>
        <v>24</v>
      </c>
      <c r="L10" s="3" t="s">
        <v>2603</v>
      </c>
      <c r="M10" s="3" t="s">
        <v>2598</v>
      </c>
      <c r="N10" s="3" t="s">
        <v>2604</v>
      </c>
      <c r="O10" s="9" t="s">
        <v>45</v>
      </c>
      <c r="P10" s="9"/>
    </row>
    <row r="11" spans="1:16" ht="64" customHeight="1">
      <c r="A11" s="3" t="s">
        <v>789</v>
      </c>
      <c r="B11" s="3" t="s">
        <v>788</v>
      </c>
      <c r="C11" s="3">
        <v>328</v>
      </c>
      <c r="D11" s="3">
        <v>353</v>
      </c>
      <c r="E11" s="3" t="s">
        <v>34</v>
      </c>
      <c r="F11" s="3" t="s">
        <v>790</v>
      </c>
      <c r="G11" s="3" t="s">
        <v>2594</v>
      </c>
      <c r="H11" s="3" t="s">
        <v>2615</v>
      </c>
      <c r="I11" s="3" t="s">
        <v>2616</v>
      </c>
      <c r="J11" s="3">
        <f>COUNTIF(Cleaned_QA_Pairs!$G$5:$G$261,A11)</f>
        <v>7</v>
      </c>
      <c r="K11" s="3">
        <f>COUNTIF(Added_From_CSV!$G$5:$G$120,A11)</f>
        <v>0</v>
      </c>
      <c r="L11" s="3" t="s">
        <v>2603</v>
      </c>
      <c r="M11" s="3" t="s">
        <v>2598</v>
      </c>
      <c r="N11" s="3" t="s">
        <v>2604</v>
      </c>
      <c r="O11" s="9" t="s">
        <v>45</v>
      </c>
      <c r="P11" s="9"/>
    </row>
    <row r="12" spans="1:16" ht="64" customHeight="1">
      <c r="A12" s="3" t="s">
        <v>826</v>
      </c>
      <c r="B12" s="3" t="s">
        <v>825</v>
      </c>
      <c r="C12" s="3">
        <v>353</v>
      </c>
      <c r="D12" s="3">
        <v>367</v>
      </c>
      <c r="E12" s="3" t="s">
        <v>34</v>
      </c>
      <c r="F12" s="3" t="s">
        <v>827</v>
      </c>
      <c r="G12" s="3" t="s">
        <v>2617</v>
      </c>
      <c r="H12" s="3" t="s">
        <v>2618</v>
      </c>
      <c r="I12" s="3" t="s">
        <v>2619</v>
      </c>
      <c r="J12" s="3">
        <f>COUNTIF(Cleaned_QA_Pairs!$G$5:$G$261,A12)</f>
        <v>25</v>
      </c>
      <c r="K12" s="3">
        <f>COUNTIF(Added_From_CSV!$G$5:$G$120,A12)</f>
        <v>11</v>
      </c>
      <c r="L12" s="3" t="s">
        <v>2603</v>
      </c>
      <c r="M12" s="3" t="s">
        <v>2598</v>
      </c>
      <c r="N12" s="3" t="s">
        <v>2604</v>
      </c>
      <c r="O12" s="9" t="s">
        <v>45</v>
      </c>
      <c r="P12" s="9"/>
    </row>
    <row r="13" spans="1:16" ht="64" customHeight="1">
      <c r="A13" s="3" t="s">
        <v>945</v>
      </c>
      <c r="B13" s="3" t="s">
        <v>944</v>
      </c>
      <c r="C13" s="3">
        <v>368</v>
      </c>
      <c r="D13" s="3">
        <v>409</v>
      </c>
      <c r="E13" s="3" t="s">
        <v>34</v>
      </c>
      <c r="F13" s="3" t="s">
        <v>34</v>
      </c>
      <c r="G13" s="3" t="s">
        <v>2594</v>
      </c>
      <c r="H13" s="3" t="s">
        <v>2595</v>
      </c>
      <c r="I13" s="3" t="s">
        <v>2596</v>
      </c>
      <c r="J13" s="3">
        <f>COUNTIF(Cleaned_QA_Pairs!$G$5:$G$261,A13)</f>
        <v>5</v>
      </c>
      <c r="K13" s="3">
        <f>COUNTIF(Added_From_CSV!$G$5:$G$120,A13)</f>
        <v>5</v>
      </c>
      <c r="L13" s="3" t="s">
        <v>2620</v>
      </c>
      <c r="M13" s="3" t="s">
        <v>2598</v>
      </c>
      <c r="N13" s="3" t="s">
        <v>2599</v>
      </c>
      <c r="O13" s="9" t="s">
        <v>45</v>
      </c>
      <c r="P13" s="9"/>
    </row>
    <row r="14" spans="1:16" ht="64" customHeight="1">
      <c r="A14" s="3" t="s">
        <v>969</v>
      </c>
      <c r="B14" s="3" t="s">
        <v>968</v>
      </c>
      <c r="C14" s="3">
        <v>410</v>
      </c>
      <c r="D14" s="3">
        <v>463</v>
      </c>
      <c r="E14" s="3" t="s">
        <v>34</v>
      </c>
      <c r="F14" s="3" t="s">
        <v>970</v>
      </c>
      <c r="G14" s="3" t="s">
        <v>2621</v>
      </c>
      <c r="H14" s="3" t="s">
        <v>2622</v>
      </c>
      <c r="I14" s="3" t="s">
        <v>2623</v>
      </c>
      <c r="J14" s="3">
        <f>COUNTIF(Cleaned_QA_Pairs!$G$5:$G$261,A14)</f>
        <v>39</v>
      </c>
      <c r="K14" s="3">
        <f>COUNTIF(Added_From_CSV!$G$5:$G$120,A14)</f>
        <v>8</v>
      </c>
      <c r="L14" s="3" t="s">
        <v>2603</v>
      </c>
      <c r="M14" s="3" t="s">
        <v>2598</v>
      </c>
      <c r="N14" s="3" t="s">
        <v>2604</v>
      </c>
      <c r="O14" s="9" t="s">
        <v>45</v>
      </c>
      <c r="P14" s="9"/>
    </row>
    <row r="15" spans="1:16" ht="64" customHeight="1">
      <c r="A15" s="4" t="s">
        <v>1166</v>
      </c>
      <c r="B15" s="4" t="s">
        <v>1165</v>
      </c>
      <c r="C15" s="4">
        <v>463</v>
      </c>
      <c r="D15" s="4">
        <v>519</v>
      </c>
      <c r="E15" s="4" t="s">
        <v>34</v>
      </c>
      <c r="F15" s="4" t="s">
        <v>1167</v>
      </c>
      <c r="G15" s="4" t="s">
        <v>2600</v>
      </c>
      <c r="H15" s="4" t="s">
        <v>2624</v>
      </c>
      <c r="I15" s="4" t="s">
        <v>2625</v>
      </c>
      <c r="J15" s="4">
        <f>COUNTIF(Cleaned_QA_Pairs!$G$5:$G$261,A15)</f>
        <v>37</v>
      </c>
      <c r="K15" s="4">
        <f>COUNTIF(Added_From_CSV!$G$5:$G$120,A15)</f>
        <v>14</v>
      </c>
      <c r="L15" s="4" t="s">
        <v>2603</v>
      </c>
      <c r="M15" s="4" t="s">
        <v>2598</v>
      </c>
      <c r="N15" s="4" t="s">
        <v>2604</v>
      </c>
      <c r="O15" s="10" t="s">
        <v>45</v>
      </c>
      <c r="P15" s="10"/>
    </row>
  </sheetData>
  <mergeCells count="2">
    <mergeCell ref="A1:P1"/>
    <mergeCell ref="A2:P2"/>
  </mergeCells>
  <dataValidations count="1">
    <dataValidation type="list" sqref="O5:O15" xr:uid="{00000000-0002-0000-0300-000000000000}">
      <formula1>"Pending,Verified,Needs correction"</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4"/>
  <sheetViews>
    <sheetView showGridLines="0" workbookViewId="0"/>
  </sheetViews>
  <sheetFormatPr baseColWidth="10" defaultColWidth="8.83203125" defaultRowHeight="15"/>
  <cols>
    <col min="1" max="1" width="12" customWidth="1"/>
    <col min="2" max="2" width="26" customWidth="1"/>
    <col min="3" max="3" width="28" customWidth="1"/>
    <col min="4" max="4" width="22" customWidth="1"/>
    <col min="5" max="5" width="16" customWidth="1"/>
    <col min="6" max="6" width="46" customWidth="1"/>
    <col min="7" max="7" width="52" customWidth="1"/>
    <col min="8" max="8" width="42" customWidth="1"/>
  </cols>
  <sheetData>
    <row r="1" spans="1:8" ht="30" customHeight="1">
      <c r="A1" s="22" t="s">
        <v>2584</v>
      </c>
      <c r="B1" s="22"/>
      <c r="C1" s="22"/>
      <c r="D1" s="22"/>
      <c r="E1" s="22"/>
      <c r="F1" s="22"/>
      <c r="G1" s="22"/>
      <c r="H1" s="22"/>
    </row>
    <row r="2" spans="1:8" ht="42" customHeight="1">
      <c r="A2" s="23" t="s">
        <v>2626</v>
      </c>
      <c r="B2" s="23"/>
      <c r="C2" s="23"/>
      <c r="D2" s="23"/>
      <c r="E2" s="23"/>
      <c r="F2" s="23"/>
      <c r="G2" s="23"/>
      <c r="H2" s="23"/>
    </row>
    <row r="4" spans="1:8" ht="36" customHeight="1">
      <c r="A4" s="1" t="s">
        <v>2627</v>
      </c>
      <c r="B4" s="1" t="s">
        <v>2628</v>
      </c>
      <c r="C4" s="1" t="s">
        <v>2629</v>
      </c>
      <c r="D4" s="1" t="s">
        <v>2630</v>
      </c>
      <c r="E4" s="1" t="s">
        <v>2631</v>
      </c>
      <c r="F4" s="1" t="s">
        <v>2632</v>
      </c>
      <c r="G4" s="1" t="s">
        <v>2586</v>
      </c>
      <c r="H4" s="1" t="s">
        <v>2633</v>
      </c>
    </row>
    <row r="5" spans="1:8" ht="60" customHeight="1">
      <c r="A5" s="2" t="s">
        <v>2634</v>
      </c>
      <c r="B5" s="2" t="s">
        <v>34</v>
      </c>
      <c r="C5" s="2" t="s">
        <v>2635</v>
      </c>
      <c r="D5" s="2" t="s">
        <v>2594</v>
      </c>
      <c r="E5" s="2" t="s">
        <v>51</v>
      </c>
      <c r="F5" s="2" t="s">
        <v>2636</v>
      </c>
      <c r="G5" s="2" t="s">
        <v>2596</v>
      </c>
      <c r="H5" s="2" t="s">
        <v>2637</v>
      </c>
    </row>
    <row r="6" spans="1:8" ht="60" customHeight="1">
      <c r="A6" s="3" t="s">
        <v>2638</v>
      </c>
      <c r="B6" s="3" t="s">
        <v>69</v>
      </c>
      <c r="C6" s="3" t="s">
        <v>2639</v>
      </c>
      <c r="D6" s="3" t="s">
        <v>2600</v>
      </c>
      <c r="E6" s="3" t="s">
        <v>30</v>
      </c>
      <c r="F6" s="3" t="s">
        <v>2601</v>
      </c>
      <c r="G6" s="3" t="s">
        <v>2602</v>
      </c>
      <c r="H6" s="3" t="s">
        <v>2640</v>
      </c>
    </row>
    <row r="7" spans="1:8" ht="60" customHeight="1">
      <c r="A7" s="3" t="s">
        <v>2641</v>
      </c>
      <c r="B7" s="3" t="s">
        <v>302</v>
      </c>
      <c r="C7" s="3" t="s">
        <v>2639</v>
      </c>
      <c r="D7" s="3" t="s">
        <v>2594</v>
      </c>
      <c r="E7" s="3" t="s">
        <v>51</v>
      </c>
      <c r="F7" s="3" t="s">
        <v>2605</v>
      </c>
      <c r="G7" s="3" t="s">
        <v>2606</v>
      </c>
      <c r="H7" s="3" t="s">
        <v>2637</v>
      </c>
    </row>
    <row r="8" spans="1:8" ht="60" customHeight="1">
      <c r="A8" s="3" t="s">
        <v>2642</v>
      </c>
      <c r="B8" s="3" t="s">
        <v>369</v>
      </c>
      <c r="C8" s="3" t="s">
        <v>2639</v>
      </c>
      <c r="D8" s="3" t="s">
        <v>2594</v>
      </c>
      <c r="E8" s="3" t="s">
        <v>51</v>
      </c>
      <c r="F8" s="3" t="s">
        <v>2607</v>
      </c>
      <c r="G8" s="3" t="s">
        <v>2608</v>
      </c>
      <c r="H8" s="3" t="s">
        <v>2637</v>
      </c>
    </row>
    <row r="9" spans="1:8" ht="60" customHeight="1">
      <c r="A9" s="3" t="s">
        <v>2643</v>
      </c>
      <c r="B9" s="3" t="s">
        <v>446</v>
      </c>
      <c r="C9" s="3" t="s">
        <v>2639</v>
      </c>
      <c r="D9" s="3" t="s">
        <v>2609</v>
      </c>
      <c r="E9" s="3" t="s">
        <v>51</v>
      </c>
      <c r="F9" s="3" t="s">
        <v>2610</v>
      </c>
      <c r="G9" s="3" t="s">
        <v>2611</v>
      </c>
      <c r="H9" s="3" t="s">
        <v>2637</v>
      </c>
    </row>
    <row r="10" spans="1:8" ht="60" customHeight="1">
      <c r="A10" s="3" t="s">
        <v>2644</v>
      </c>
      <c r="B10" s="3" t="s">
        <v>621</v>
      </c>
      <c r="C10" s="3" t="s">
        <v>2639</v>
      </c>
      <c r="D10" s="3" t="s">
        <v>2645</v>
      </c>
      <c r="E10" s="3" t="s">
        <v>2646</v>
      </c>
      <c r="F10" s="3" t="s">
        <v>2613</v>
      </c>
      <c r="G10" s="3" t="s">
        <v>2614</v>
      </c>
      <c r="H10" s="3" t="s">
        <v>2647</v>
      </c>
    </row>
    <row r="11" spans="1:8" ht="60" customHeight="1">
      <c r="A11" s="3" t="s">
        <v>2648</v>
      </c>
      <c r="B11" s="3" t="s">
        <v>790</v>
      </c>
      <c r="C11" s="3" t="s">
        <v>2639</v>
      </c>
      <c r="D11" s="3" t="s">
        <v>2594</v>
      </c>
      <c r="E11" s="3" t="s">
        <v>51</v>
      </c>
      <c r="F11" s="3" t="s">
        <v>2615</v>
      </c>
      <c r="G11" s="3" t="s">
        <v>2616</v>
      </c>
      <c r="H11" s="3" t="s">
        <v>2637</v>
      </c>
    </row>
    <row r="12" spans="1:8" ht="60" customHeight="1">
      <c r="A12" s="3" t="s">
        <v>2649</v>
      </c>
      <c r="B12" s="3" t="s">
        <v>827</v>
      </c>
      <c r="C12" s="3" t="s">
        <v>2639</v>
      </c>
      <c r="D12" s="3" t="s">
        <v>2617</v>
      </c>
      <c r="E12" s="3" t="s">
        <v>51</v>
      </c>
      <c r="F12" s="3" t="s">
        <v>2618</v>
      </c>
      <c r="G12" s="3" t="s">
        <v>2619</v>
      </c>
      <c r="H12" s="3" t="s">
        <v>2637</v>
      </c>
    </row>
    <row r="13" spans="1:8" ht="60" customHeight="1">
      <c r="A13" s="3" t="s">
        <v>2650</v>
      </c>
      <c r="B13" s="3" t="s">
        <v>970</v>
      </c>
      <c r="C13" s="3" t="s">
        <v>2639</v>
      </c>
      <c r="D13" s="3" t="s">
        <v>2621</v>
      </c>
      <c r="E13" s="3" t="s">
        <v>51</v>
      </c>
      <c r="F13" s="3" t="s">
        <v>2622</v>
      </c>
      <c r="G13" s="3" t="s">
        <v>2623</v>
      </c>
      <c r="H13" s="3" t="s">
        <v>2651</v>
      </c>
    </row>
    <row r="14" spans="1:8" ht="60" customHeight="1">
      <c r="A14" s="4" t="s">
        <v>2652</v>
      </c>
      <c r="B14" s="4" t="s">
        <v>1167</v>
      </c>
      <c r="C14" s="4" t="s">
        <v>2639</v>
      </c>
      <c r="D14" s="4" t="s">
        <v>2600</v>
      </c>
      <c r="E14" s="4" t="s">
        <v>30</v>
      </c>
      <c r="F14" s="4" t="s">
        <v>2624</v>
      </c>
      <c r="G14" s="4" t="s">
        <v>2653</v>
      </c>
      <c r="H14" s="4" t="s">
        <v>2654</v>
      </c>
    </row>
  </sheetData>
  <mergeCells count="2">
    <mergeCell ref="A1:H1"/>
    <mergeCell ref="A2:H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0"/>
  <sheetViews>
    <sheetView showGridLines="0" workbookViewId="0"/>
  </sheetViews>
  <sheetFormatPr baseColWidth="10" defaultColWidth="8.83203125" defaultRowHeight="15"/>
  <cols>
    <col min="1" max="1" width="36" customWidth="1"/>
    <col min="2" max="2" width="112" customWidth="1"/>
  </cols>
  <sheetData>
    <row r="1" spans="1:2" ht="30" customHeight="1">
      <c r="A1" s="22" t="s">
        <v>2655</v>
      </c>
      <c r="B1" s="22"/>
    </row>
    <row r="2" spans="1:2" ht="42" customHeight="1">
      <c r="A2" s="23" t="s">
        <v>2656</v>
      </c>
      <c r="B2" s="23"/>
    </row>
    <row r="4" spans="1:2" ht="36" customHeight="1">
      <c r="A4" s="1" t="s">
        <v>2657</v>
      </c>
      <c r="B4" s="1" t="s">
        <v>2658</v>
      </c>
    </row>
    <row r="5" spans="1:2" ht="68" customHeight="1">
      <c r="A5" s="2" t="s">
        <v>2659</v>
      </c>
      <c r="B5" s="2" t="s">
        <v>2660</v>
      </c>
    </row>
    <row r="6" spans="1:2" ht="68" customHeight="1">
      <c r="A6" s="3" t="s">
        <v>2661</v>
      </c>
      <c r="B6" s="3" t="s">
        <v>2662</v>
      </c>
    </row>
    <row r="7" spans="1:2" ht="68" customHeight="1">
      <c r="A7" s="3" t="s">
        <v>2663</v>
      </c>
      <c r="B7" s="3" t="s">
        <v>2664</v>
      </c>
    </row>
    <row r="8" spans="1:2" ht="68" customHeight="1">
      <c r="A8" s="3" t="s">
        <v>2665</v>
      </c>
      <c r="B8" s="3" t="s">
        <v>2666</v>
      </c>
    </row>
    <row r="9" spans="1:2" ht="68" customHeight="1">
      <c r="A9" s="3" t="s">
        <v>2667</v>
      </c>
      <c r="B9" s="3" t="s">
        <v>2668</v>
      </c>
    </row>
    <row r="10" spans="1:2" ht="68" customHeight="1">
      <c r="A10" s="3" t="s">
        <v>2669</v>
      </c>
      <c r="B10" s="3" t="s">
        <v>2670</v>
      </c>
    </row>
    <row r="11" spans="1:2" ht="68" customHeight="1">
      <c r="A11" s="3" t="s">
        <v>2671</v>
      </c>
      <c r="B11" s="3" t="s">
        <v>2672</v>
      </c>
    </row>
    <row r="12" spans="1:2" ht="68" customHeight="1">
      <c r="A12" s="3" t="s">
        <v>2673</v>
      </c>
      <c r="B12" s="3" t="s">
        <v>2674</v>
      </c>
    </row>
    <row r="13" spans="1:2" ht="68" customHeight="1">
      <c r="A13" s="3" t="s">
        <v>2675</v>
      </c>
      <c r="B13" s="3" t="s">
        <v>2676</v>
      </c>
    </row>
    <row r="14" spans="1:2" ht="68" customHeight="1">
      <c r="A14" s="3" t="s">
        <v>2677</v>
      </c>
      <c r="B14" s="3" t="s">
        <v>2678</v>
      </c>
    </row>
    <row r="15" spans="1:2" ht="68" customHeight="1">
      <c r="A15" s="3" t="s">
        <v>2679</v>
      </c>
      <c r="B15" s="3" t="s">
        <v>2680</v>
      </c>
    </row>
    <row r="16" spans="1:2" ht="68" customHeight="1">
      <c r="A16" s="3" t="s">
        <v>2681</v>
      </c>
      <c r="B16" s="3" t="s">
        <v>2682</v>
      </c>
    </row>
    <row r="17" spans="1:2" ht="68" customHeight="1">
      <c r="A17" s="3" t="s">
        <v>2683</v>
      </c>
      <c r="B17" s="3" t="s">
        <v>2684</v>
      </c>
    </row>
    <row r="18" spans="1:2" ht="68" customHeight="1">
      <c r="A18" s="3" t="s">
        <v>2685</v>
      </c>
      <c r="B18" s="3" t="s">
        <v>2686</v>
      </c>
    </row>
    <row r="19" spans="1:2" ht="68" customHeight="1">
      <c r="A19" s="3" t="s">
        <v>2687</v>
      </c>
      <c r="B19" s="3" t="s">
        <v>2688</v>
      </c>
    </row>
    <row r="20" spans="1:2" ht="68" customHeight="1">
      <c r="A20" s="4" t="s">
        <v>2689</v>
      </c>
      <c r="B20" s="4" t="s">
        <v>2690</v>
      </c>
    </row>
  </sheetData>
  <mergeCells count="2">
    <mergeCell ref="A1:B1"/>
    <mergeCell ref="A2:B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1"/>
  <sheetViews>
    <sheetView showGridLines="0" workbookViewId="0"/>
  </sheetViews>
  <sheetFormatPr baseColWidth="10" defaultColWidth="8.83203125" defaultRowHeight="15"/>
  <cols>
    <col min="1" max="1" width="35" customWidth="1"/>
    <col min="2" max="2" width="82" customWidth="1"/>
    <col min="3" max="3" width="25" customWidth="1"/>
    <col min="4" max="4" width="20" customWidth="1"/>
  </cols>
  <sheetData>
    <row r="1" spans="1:4" ht="30" customHeight="1">
      <c r="A1" s="22" t="s">
        <v>2691</v>
      </c>
      <c r="B1" s="22"/>
      <c r="C1" s="22"/>
      <c r="D1" s="22"/>
    </row>
    <row r="2" spans="1:4" ht="42" customHeight="1">
      <c r="A2" s="23" t="s">
        <v>2692</v>
      </c>
      <c r="B2" s="23"/>
      <c r="C2" s="23"/>
      <c r="D2" s="23"/>
    </row>
    <row r="4" spans="1:4" ht="36" customHeight="1">
      <c r="A4" s="1" t="s">
        <v>2693</v>
      </c>
      <c r="B4" s="1" t="s">
        <v>2694</v>
      </c>
      <c r="C4" s="1" t="s">
        <v>2695</v>
      </c>
      <c r="D4" s="1" t="s">
        <v>2696</v>
      </c>
    </row>
    <row r="5" spans="1:4" ht="56" customHeight="1">
      <c r="A5" s="2" t="s">
        <v>2</v>
      </c>
      <c r="B5" s="2" t="s">
        <v>2697</v>
      </c>
      <c r="C5" s="2" t="s">
        <v>2698</v>
      </c>
      <c r="D5" s="2" t="s">
        <v>2699</v>
      </c>
    </row>
    <row r="6" spans="1:4" ht="56" customHeight="1">
      <c r="A6" s="3" t="s">
        <v>3</v>
      </c>
      <c r="B6" s="3" t="s">
        <v>2700</v>
      </c>
      <c r="C6" s="3" t="s">
        <v>2701</v>
      </c>
      <c r="D6" s="3" t="s">
        <v>2699</v>
      </c>
    </row>
    <row r="7" spans="1:4" ht="56" customHeight="1">
      <c r="A7" s="3" t="s">
        <v>2702</v>
      </c>
      <c r="B7" s="3" t="s">
        <v>2703</v>
      </c>
      <c r="C7" s="3" t="s">
        <v>2704</v>
      </c>
      <c r="D7" s="3" t="s">
        <v>2699</v>
      </c>
    </row>
    <row r="8" spans="1:4" ht="56" customHeight="1">
      <c r="A8" s="3" t="s">
        <v>5</v>
      </c>
      <c r="B8" s="3" t="s">
        <v>2705</v>
      </c>
      <c r="C8" s="3" t="s">
        <v>2706</v>
      </c>
      <c r="D8" s="3" t="s">
        <v>2699</v>
      </c>
    </row>
    <row r="9" spans="1:4" ht="56" customHeight="1">
      <c r="A9" s="3" t="s">
        <v>6</v>
      </c>
      <c r="B9" s="3" t="s">
        <v>2707</v>
      </c>
      <c r="C9" s="3" t="s">
        <v>2708</v>
      </c>
      <c r="D9" s="3" t="s">
        <v>2699</v>
      </c>
    </row>
    <row r="10" spans="1:4" ht="56" customHeight="1">
      <c r="A10" s="3" t="s">
        <v>9</v>
      </c>
      <c r="B10" s="3" t="s">
        <v>2709</v>
      </c>
      <c r="C10" s="3" t="s">
        <v>2710</v>
      </c>
      <c r="D10" s="3" t="s">
        <v>2699</v>
      </c>
    </row>
    <row r="11" spans="1:4" ht="56" customHeight="1">
      <c r="A11" s="3" t="s">
        <v>12</v>
      </c>
      <c r="B11" s="3" t="s">
        <v>2711</v>
      </c>
      <c r="C11" s="3" t="s">
        <v>2706</v>
      </c>
      <c r="D11" s="3" t="s">
        <v>2699</v>
      </c>
    </row>
    <row r="12" spans="1:4" ht="56" customHeight="1">
      <c r="A12" s="3" t="s">
        <v>13</v>
      </c>
      <c r="B12" s="3" t="s">
        <v>2712</v>
      </c>
      <c r="C12" s="3" t="s">
        <v>2713</v>
      </c>
      <c r="D12" s="3" t="s">
        <v>39</v>
      </c>
    </row>
    <row r="13" spans="1:4" ht="56" customHeight="1">
      <c r="A13" s="3" t="s">
        <v>14</v>
      </c>
      <c r="B13" s="3" t="s">
        <v>2714</v>
      </c>
      <c r="C13" s="3" t="s">
        <v>2713</v>
      </c>
      <c r="D13" s="3" t="s">
        <v>39</v>
      </c>
    </row>
    <row r="14" spans="1:4" ht="56" customHeight="1">
      <c r="A14" s="3" t="s">
        <v>15</v>
      </c>
      <c r="B14" s="3" t="s">
        <v>2715</v>
      </c>
      <c r="C14" s="3" t="s">
        <v>2713</v>
      </c>
      <c r="D14" s="3" t="s">
        <v>39</v>
      </c>
    </row>
    <row r="15" spans="1:4" ht="56" customHeight="1">
      <c r="A15" s="3" t="s">
        <v>16</v>
      </c>
      <c r="B15" s="3" t="s">
        <v>2716</v>
      </c>
      <c r="C15" s="3" t="s">
        <v>2713</v>
      </c>
      <c r="D15" s="3" t="s">
        <v>39</v>
      </c>
    </row>
    <row r="16" spans="1:4" ht="56" customHeight="1">
      <c r="A16" s="3" t="s">
        <v>17</v>
      </c>
      <c r="B16" s="3" t="s">
        <v>2717</v>
      </c>
      <c r="C16" s="3" t="s">
        <v>2713</v>
      </c>
      <c r="D16" s="3" t="s">
        <v>39</v>
      </c>
    </row>
    <row r="17" spans="1:4" ht="56" customHeight="1">
      <c r="A17" s="3" t="s">
        <v>18</v>
      </c>
      <c r="B17" s="3" t="s">
        <v>2718</v>
      </c>
      <c r="C17" s="3" t="s">
        <v>2719</v>
      </c>
      <c r="D17" s="3" t="s">
        <v>39</v>
      </c>
    </row>
    <row r="18" spans="1:4" ht="56" customHeight="1">
      <c r="A18" s="3" t="s">
        <v>19</v>
      </c>
      <c r="B18" s="3" t="s">
        <v>2720</v>
      </c>
      <c r="C18" s="3" t="s">
        <v>2721</v>
      </c>
      <c r="D18" s="3" t="s">
        <v>2699</v>
      </c>
    </row>
    <row r="19" spans="1:4" ht="56" customHeight="1">
      <c r="A19" s="3" t="s">
        <v>20</v>
      </c>
      <c r="B19" s="3" t="s">
        <v>2722</v>
      </c>
      <c r="C19" s="3" t="s">
        <v>2721</v>
      </c>
      <c r="D19" s="3" t="s">
        <v>2699</v>
      </c>
    </row>
    <row r="20" spans="1:4" ht="56" customHeight="1">
      <c r="A20" s="3" t="s">
        <v>22</v>
      </c>
      <c r="B20" s="3" t="s">
        <v>2723</v>
      </c>
      <c r="C20" s="3" t="s">
        <v>2724</v>
      </c>
      <c r="D20" s="3" t="s">
        <v>2699</v>
      </c>
    </row>
    <row r="21" spans="1:4" ht="56" customHeight="1">
      <c r="A21" s="4" t="s">
        <v>25</v>
      </c>
      <c r="B21" s="4" t="s">
        <v>2725</v>
      </c>
      <c r="C21" s="4" t="s">
        <v>2726</v>
      </c>
      <c r="D21" s="4" t="s">
        <v>2727</v>
      </c>
    </row>
  </sheetData>
  <mergeCells count="2">
    <mergeCell ref="A1:D1"/>
    <mergeCell ref="A2:D2"/>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0"/>
  <sheetViews>
    <sheetView showGridLines="0" workbookViewId="0"/>
  </sheetViews>
  <sheetFormatPr baseColWidth="10" defaultColWidth="8.83203125" defaultRowHeight="15"/>
  <cols>
    <col min="1" max="2" width="25" customWidth="1"/>
    <col min="3" max="3" width="58" customWidth="1"/>
    <col min="4" max="8" width="22" customWidth="1"/>
  </cols>
  <sheetData>
    <row r="1" spans="1:8" ht="30" customHeight="1">
      <c r="A1" s="22" t="s">
        <v>2728</v>
      </c>
      <c r="B1" s="22"/>
      <c r="C1" s="22"/>
      <c r="D1" s="22"/>
      <c r="E1" s="22"/>
      <c r="F1" s="22"/>
      <c r="G1" s="22"/>
      <c r="H1" s="22"/>
    </row>
    <row r="2" spans="1:8" ht="42" customHeight="1">
      <c r="A2" s="23" t="s">
        <v>2729</v>
      </c>
      <c r="B2" s="23"/>
      <c r="C2" s="23"/>
      <c r="D2" s="23"/>
      <c r="E2" s="23"/>
      <c r="F2" s="23"/>
      <c r="G2" s="23"/>
      <c r="H2" s="23"/>
    </row>
    <row r="4" spans="1:8">
      <c r="A4" s="11" t="s">
        <v>2730</v>
      </c>
      <c r="B4" s="11" t="s">
        <v>2731</v>
      </c>
      <c r="C4" s="11" t="s">
        <v>2732</v>
      </c>
      <c r="D4" s="11" t="s">
        <v>2733</v>
      </c>
      <c r="E4" s="11" t="s">
        <v>2734</v>
      </c>
      <c r="F4" s="11" t="s">
        <v>2735</v>
      </c>
      <c r="G4" s="11" t="s">
        <v>2736</v>
      </c>
      <c r="H4" s="11" t="s">
        <v>2737</v>
      </c>
    </row>
    <row r="5" spans="1:8" ht="36" customHeight="1">
      <c r="A5" s="12">
        <v>491</v>
      </c>
      <c r="B5" s="13">
        <v>264</v>
      </c>
      <c r="C5" s="13">
        <f>COUNTA(Cleaned_QA_Pairs!$A$5:$A$261)</f>
        <v>257</v>
      </c>
      <c r="D5" s="13">
        <f>COUNTIF(Cleaned_QA_Pairs!$R$5:$R$261,"Supplied CSV addition")</f>
        <v>116</v>
      </c>
      <c r="E5" s="13">
        <f>COUNTIF(Cleaning_Audit!$C$5:$C$759,"REMOVE")</f>
        <v>386</v>
      </c>
      <c r="F5" s="13">
        <f>COUNTIF(Cleaning_Audit!$C$5:$C$759,"DUPLICATE")</f>
        <v>112</v>
      </c>
      <c r="G5" s="13">
        <f>COUNTIF(Cleaned_QA_Pairs!$E$5:$E$261,"Yes")</f>
        <v>19</v>
      </c>
      <c r="H5" s="14">
        <f>COUNTA(Episodes!$A$5:$A$15)</f>
        <v>11</v>
      </c>
    </row>
    <row r="8" spans="1:8" ht="16">
      <c r="A8" s="15" t="s">
        <v>13</v>
      </c>
      <c r="B8" s="15" t="s">
        <v>2738</v>
      </c>
      <c r="C8" s="15" t="s">
        <v>2739</v>
      </c>
    </row>
    <row r="9" spans="1:8" ht="32" customHeight="1">
      <c r="A9" s="16" t="s">
        <v>319</v>
      </c>
      <c r="B9" s="19">
        <f>COUNTIF(Cleaned_QA_Pairs!$L$5:$L$261,A9)</f>
        <v>18</v>
      </c>
      <c r="C9" s="16" t="s">
        <v>2740</v>
      </c>
    </row>
    <row r="10" spans="1:8" ht="32" customHeight="1">
      <c r="A10" s="17" t="s">
        <v>50</v>
      </c>
      <c r="B10" s="20">
        <f>COUNTIF(Cleaned_QA_Pairs!$L$5:$L$261,A10)</f>
        <v>59</v>
      </c>
      <c r="C10" s="17" t="s">
        <v>2741</v>
      </c>
    </row>
    <row r="11" spans="1:8" ht="32" customHeight="1">
      <c r="A11" s="17" t="s">
        <v>57</v>
      </c>
      <c r="B11" s="20">
        <f>COUNTIF(Cleaned_QA_Pairs!$L$5:$L$261,A11)</f>
        <v>8</v>
      </c>
      <c r="C11" s="17" t="s">
        <v>2742</v>
      </c>
    </row>
    <row r="12" spans="1:8" ht="32" customHeight="1">
      <c r="A12" s="17" t="s">
        <v>71</v>
      </c>
      <c r="B12" s="20">
        <f>COUNTIF(Cleaned_QA_Pairs!$L$5:$L$261,A12)</f>
        <v>38</v>
      </c>
      <c r="C12" s="17" t="s">
        <v>2743</v>
      </c>
    </row>
    <row r="13" spans="1:8" ht="32" customHeight="1">
      <c r="A13" s="17" t="s">
        <v>62</v>
      </c>
      <c r="B13" s="20">
        <f>COUNTIF(Cleaned_QA_Pairs!$L$5:$L$261,A13)</f>
        <v>34</v>
      </c>
      <c r="C13" s="17" t="s">
        <v>2744</v>
      </c>
    </row>
    <row r="14" spans="1:8" ht="32" customHeight="1">
      <c r="A14" s="17" t="s">
        <v>49</v>
      </c>
      <c r="B14" s="20">
        <f>COUNTIF(Cleaned_QA_Pairs!$L$5:$L$261,A14)</f>
        <v>66</v>
      </c>
      <c r="C14" s="17" t="s">
        <v>2745</v>
      </c>
    </row>
    <row r="15" spans="1:8" ht="32" customHeight="1">
      <c r="A15" s="17" t="s">
        <v>36</v>
      </c>
      <c r="B15" s="20">
        <f>COUNTIF(Cleaned_QA_Pairs!$L$5:$L$261,A15)</f>
        <v>32</v>
      </c>
      <c r="C15" s="17" t="s">
        <v>2746</v>
      </c>
    </row>
    <row r="16" spans="1:8" ht="32" customHeight="1">
      <c r="A16" s="17" t="s">
        <v>219</v>
      </c>
      <c r="B16" s="20">
        <f>COUNTIF(Cleaned_QA_Pairs!$L$5:$L$261,A16)</f>
        <v>2</v>
      </c>
      <c r="C16" s="17" t="s">
        <v>2747</v>
      </c>
    </row>
    <row r="17" spans="1:8" ht="32" customHeight="1">
      <c r="A17" s="18" t="s">
        <v>2748</v>
      </c>
      <c r="B17" s="21">
        <v>0</v>
      </c>
      <c r="C17" s="18" t="s">
        <v>2749</v>
      </c>
    </row>
    <row r="20" spans="1:8" ht="54" customHeight="1">
      <c r="A20" s="24" t="s">
        <v>2750</v>
      </c>
      <c r="B20" s="25"/>
      <c r="C20" s="25"/>
      <c r="D20" s="25"/>
      <c r="E20" s="25"/>
      <c r="F20" s="25"/>
      <c r="G20" s="25"/>
      <c r="H20" s="26"/>
    </row>
  </sheetData>
  <mergeCells count="3">
    <mergeCell ref="A1:H1"/>
    <mergeCell ref="A2:H2"/>
    <mergeCell ref="A20:H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Cleaned_QA_Pairs</vt:lpstr>
      <vt:lpstr>Added_From_CSV</vt:lpstr>
      <vt:lpstr>Cleaning_Audit</vt:lpstr>
      <vt:lpstr>Episodes</vt:lpstr>
      <vt:lpstr>Speakers</vt:lpstr>
      <vt:lpstr>Method_and_Limitations</vt:lpstr>
      <vt:lpstr>Codebook</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MILOSAVLJEVIC, DANA (UG)</cp:lastModifiedBy>
  <dcterms:created xsi:type="dcterms:W3CDTF">2026-07-03T11:30:12Z</dcterms:created>
  <dcterms:modified xsi:type="dcterms:W3CDTF">2026-07-03T11:30:13Z</dcterms:modified>
</cp:coreProperties>
</file>